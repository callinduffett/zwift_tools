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01" codeName="{009DFEA7-8C9C-09C3-8CAF-802165E75F8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olin\Triathlon\ZWO\"/>
    </mc:Choice>
  </mc:AlternateContent>
  <xr:revisionPtr revIDLastSave="0" documentId="13_ncr:1_{D2AF2A25-6802-4C4A-B58B-B67AB061FF2B}" xr6:coauthVersionLast="43" xr6:coauthVersionMax="43" xr10:uidLastSave="{00000000-0000-0000-0000-000000000000}"/>
  <bookViews>
    <workbookView xWindow="-120" yWindow="-120" windowWidth="29040" windowHeight="15840" xr2:uid="{00000000-000D-0000-FFFF-FFFF00000000}"/>
  </bookViews>
  <sheets>
    <sheet name="Master" sheetId="4" r:id="rId1"/>
    <sheet name="BBS" sheetId="7" r:id="rId2"/>
    <sheet name="ZWOLog" sheetId="5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3" i="7" l="1"/>
  <c r="K4" i="7"/>
  <c r="C7" i="4"/>
  <c r="K102" i="4" l="1"/>
  <c r="K103" i="4"/>
  <c r="K104" i="4"/>
  <c r="K105" i="4"/>
  <c r="K106" i="4"/>
  <c r="K107" i="4"/>
  <c r="H102" i="4"/>
  <c r="I102" i="4"/>
  <c r="H103" i="4"/>
  <c r="I103" i="4"/>
  <c r="H104" i="4"/>
  <c r="I104" i="4"/>
  <c r="H105" i="4"/>
  <c r="I105" i="4"/>
  <c r="H106" i="4"/>
  <c r="I106" i="4"/>
  <c r="H107" i="4"/>
  <c r="I107" i="4"/>
  <c r="H96" i="4" l="1"/>
  <c r="I96" i="4"/>
  <c r="K96" i="4" l="1"/>
  <c r="H10" i="4" l="1"/>
  <c r="I10" i="4"/>
  <c r="K10" i="4" l="1"/>
  <c r="H101" i="4"/>
  <c r="I101" i="4"/>
  <c r="K101" i="4" s="1"/>
  <c r="C2" i="4"/>
  <c r="H81" i="4"/>
  <c r="I81" i="4"/>
  <c r="H82" i="4"/>
  <c r="I82" i="4"/>
  <c r="H83" i="4"/>
  <c r="I83" i="4"/>
  <c r="H84" i="4"/>
  <c r="I84" i="4"/>
  <c r="H85" i="4"/>
  <c r="I85" i="4"/>
  <c r="H86" i="4"/>
  <c r="I86" i="4"/>
  <c r="H87" i="4"/>
  <c r="I87" i="4"/>
  <c r="H88" i="4"/>
  <c r="I88" i="4"/>
  <c r="H89" i="4"/>
  <c r="I89" i="4"/>
  <c r="H90" i="4"/>
  <c r="I90" i="4"/>
  <c r="H91" i="4"/>
  <c r="I91" i="4"/>
  <c r="H92" i="4"/>
  <c r="I92" i="4"/>
  <c r="H93" i="4"/>
  <c r="I93" i="4"/>
  <c r="H94" i="4"/>
  <c r="I94" i="4"/>
  <c r="H95" i="4"/>
  <c r="I95" i="4"/>
  <c r="H97" i="4"/>
  <c r="I97" i="4"/>
  <c r="H98" i="4"/>
  <c r="I98" i="4"/>
  <c r="H99" i="4"/>
  <c r="I99" i="4"/>
  <c r="H100" i="4"/>
  <c r="I100" i="4"/>
  <c r="C3" i="4"/>
  <c r="K99" i="4" l="1"/>
  <c r="K97" i="4"/>
  <c r="K98" i="4"/>
  <c r="K90" i="4"/>
  <c r="K86" i="4"/>
  <c r="K95" i="4"/>
  <c r="K93" i="4"/>
  <c r="K91" i="4"/>
  <c r="K82" i="4"/>
  <c r="K94" i="4"/>
  <c r="K85" i="4"/>
  <c r="K83" i="4"/>
  <c r="K81" i="4"/>
  <c r="K92" i="4"/>
  <c r="K88" i="4"/>
  <c r="K100" i="4"/>
  <c r="K89" i="4"/>
  <c r="K87" i="4"/>
  <c r="K84" i="4"/>
  <c r="H65" i="4"/>
  <c r="I65" i="4"/>
  <c r="H66" i="4"/>
  <c r="I66" i="4"/>
  <c r="H67" i="4"/>
  <c r="I67" i="4"/>
  <c r="H68" i="4"/>
  <c r="I68" i="4"/>
  <c r="H69" i="4"/>
  <c r="I69" i="4"/>
  <c r="H70" i="4"/>
  <c r="I70" i="4"/>
  <c r="H71" i="4"/>
  <c r="I71" i="4"/>
  <c r="H72" i="4"/>
  <c r="I72" i="4"/>
  <c r="H73" i="4"/>
  <c r="I73" i="4"/>
  <c r="H74" i="4"/>
  <c r="I74" i="4"/>
  <c r="H75" i="4"/>
  <c r="I75" i="4"/>
  <c r="H76" i="4"/>
  <c r="I76" i="4"/>
  <c r="H77" i="4"/>
  <c r="I77" i="4"/>
  <c r="H78" i="4"/>
  <c r="I78" i="4"/>
  <c r="H79" i="4"/>
  <c r="I79" i="4"/>
  <c r="H80" i="4"/>
  <c r="I80" i="4"/>
  <c r="K80" i="4" l="1"/>
  <c r="K78" i="4"/>
  <c r="K76" i="4"/>
  <c r="K72" i="4"/>
  <c r="K68" i="4"/>
  <c r="K66" i="4"/>
  <c r="K79" i="4"/>
  <c r="K77" i="4"/>
  <c r="K75" i="4"/>
  <c r="K73" i="4"/>
  <c r="K71" i="4"/>
  <c r="K69" i="4"/>
  <c r="K67" i="4"/>
  <c r="K65" i="4"/>
  <c r="K74" i="4"/>
  <c r="K70" i="4"/>
  <c r="H54" i="4"/>
  <c r="I54" i="4"/>
  <c r="H55" i="4"/>
  <c r="I55" i="4"/>
  <c r="H56" i="4"/>
  <c r="I56" i="4"/>
  <c r="H57" i="4"/>
  <c r="I57" i="4"/>
  <c r="H58" i="4"/>
  <c r="I58" i="4"/>
  <c r="H59" i="4"/>
  <c r="I59" i="4"/>
  <c r="H60" i="4"/>
  <c r="I60" i="4"/>
  <c r="H61" i="4"/>
  <c r="I61" i="4"/>
  <c r="H62" i="4"/>
  <c r="I62" i="4"/>
  <c r="H63" i="4"/>
  <c r="I63" i="4"/>
  <c r="H64" i="4"/>
  <c r="I64" i="4"/>
  <c r="K57" i="4" l="1"/>
  <c r="K55" i="4"/>
  <c r="K63" i="4"/>
  <c r="K61" i="4"/>
  <c r="K59" i="4"/>
  <c r="K64" i="4"/>
  <c r="K60" i="4"/>
  <c r="K56" i="4"/>
  <c r="K62" i="4"/>
  <c r="K58" i="4"/>
  <c r="K54" i="4"/>
  <c r="H49" i="4"/>
  <c r="I49" i="4"/>
  <c r="H50" i="4"/>
  <c r="I50" i="4"/>
  <c r="H51" i="4"/>
  <c r="I51" i="4"/>
  <c r="H52" i="4"/>
  <c r="I52" i="4"/>
  <c r="H53" i="4"/>
  <c r="I53" i="4"/>
  <c r="H48" i="4"/>
  <c r="I48" i="4"/>
  <c r="K53" i="4" l="1"/>
  <c r="K51" i="4"/>
  <c r="K49" i="4"/>
  <c r="K52" i="4"/>
  <c r="K50" i="4"/>
  <c r="K48" i="4"/>
  <c r="H46" i="4"/>
  <c r="I46" i="4"/>
  <c r="H47" i="4"/>
  <c r="I47" i="4"/>
  <c r="H30" i="4"/>
  <c r="I30" i="4"/>
  <c r="H31" i="4"/>
  <c r="I31" i="4"/>
  <c r="H32" i="4"/>
  <c r="I32" i="4"/>
  <c r="H33" i="4"/>
  <c r="I33" i="4"/>
  <c r="H34" i="4"/>
  <c r="I34" i="4"/>
  <c r="H35" i="4"/>
  <c r="I35" i="4"/>
  <c r="H36" i="4"/>
  <c r="I36" i="4"/>
  <c r="H37" i="4"/>
  <c r="I37" i="4"/>
  <c r="H38" i="4"/>
  <c r="I38" i="4"/>
  <c r="H39" i="4"/>
  <c r="I39" i="4"/>
  <c r="H40" i="4"/>
  <c r="I40" i="4"/>
  <c r="H41" i="4"/>
  <c r="I41" i="4"/>
  <c r="H42" i="4"/>
  <c r="I42" i="4"/>
  <c r="H43" i="4"/>
  <c r="I43" i="4"/>
  <c r="H44" i="4"/>
  <c r="I44" i="4"/>
  <c r="H45" i="4"/>
  <c r="I45" i="4"/>
  <c r="I29" i="4"/>
  <c r="H29" i="4"/>
  <c r="I28" i="4"/>
  <c r="H28" i="4"/>
  <c r="I27" i="4"/>
  <c r="H27" i="4"/>
  <c r="I26" i="4"/>
  <c r="H26" i="4"/>
  <c r="I25" i="4"/>
  <c r="H25" i="4"/>
  <c r="I24" i="4"/>
  <c r="H24" i="4"/>
  <c r="I23" i="4"/>
  <c r="H23" i="4"/>
  <c r="I22" i="4"/>
  <c r="H22" i="4"/>
  <c r="I21" i="4"/>
  <c r="H21" i="4"/>
  <c r="I20" i="4"/>
  <c r="H20" i="4"/>
  <c r="I19" i="4"/>
  <c r="H19" i="4"/>
  <c r="I18" i="4"/>
  <c r="H18" i="4"/>
  <c r="I17" i="4"/>
  <c r="H17" i="4"/>
  <c r="I16" i="4"/>
  <c r="H16" i="4"/>
  <c r="I15" i="4"/>
  <c r="H15" i="4"/>
  <c r="I14" i="4"/>
  <c r="H14" i="4"/>
  <c r="I13" i="4"/>
  <c r="H13" i="4"/>
  <c r="I12" i="4"/>
  <c r="H12" i="4"/>
  <c r="I11" i="4"/>
  <c r="H11" i="4"/>
  <c r="I9" i="4"/>
  <c r="H9" i="4"/>
  <c r="I8" i="4"/>
  <c r="H8" i="4"/>
  <c r="K47" i="4" l="1"/>
  <c r="K44" i="4"/>
  <c r="K42" i="4"/>
  <c r="K40" i="4"/>
  <c r="K38" i="4"/>
  <c r="K36" i="4"/>
  <c r="K34" i="4"/>
  <c r="K32" i="4"/>
  <c r="K46" i="4"/>
  <c r="K45" i="4"/>
  <c r="K43" i="4"/>
  <c r="K41" i="4"/>
  <c r="K39" i="4"/>
  <c r="K37" i="4"/>
  <c r="K35" i="4"/>
  <c r="K33" i="4"/>
  <c r="K30" i="4"/>
  <c r="K31" i="4"/>
  <c r="K9" i="4"/>
  <c r="K12" i="4"/>
  <c r="K14" i="4"/>
  <c r="K16" i="4"/>
  <c r="K18" i="4"/>
  <c r="K20" i="4"/>
  <c r="K22" i="4"/>
  <c r="K24" i="4"/>
  <c r="K26" i="4"/>
  <c r="K28" i="4"/>
  <c r="K11" i="4"/>
  <c r="K13" i="4"/>
  <c r="K15" i="4"/>
  <c r="K17" i="4"/>
  <c r="K19" i="4"/>
  <c r="K21" i="4"/>
  <c r="K23" i="4"/>
  <c r="K25" i="4"/>
  <c r="K27" i="4"/>
  <c r="K29" i="4"/>
  <c r="K8" i="4"/>
</calcChain>
</file>

<file path=xl/sharedStrings.xml><?xml version="1.0" encoding="utf-8"?>
<sst xmlns="http://schemas.openxmlformats.org/spreadsheetml/2006/main" count="243" uniqueCount="210">
  <si>
    <t>Time (min)</t>
  </si>
  <si>
    <t>Time (s)</t>
  </si>
  <si>
    <t>Power %</t>
  </si>
  <si>
    <t>FTP</t>
  </si>
  <si>
    <t>Test Workout</t>
  </si>
  <si>
    <t>Workout Segments</t>
  </si>
  <si>
    <t>Workout Length (mins)</t>
  </si>
  <si>
    <t>Directory</t>
  </si>
  <si>
    <t>Workout Name</t>
  </si>
  <si>
    <t>Segment:</t>
  </si>
  <si>
    <t>C:\Users\colin.duffett\Desktop\ZWO</t>
  </si>
  <si>
    <t>ZWO Log</t>
  </si>
  <si>
    <t>Date</t>
  </si>
  <si>
    <t>#1</t>
  </si>
  <si>
    <t>1.42 mi</t>
  </si>
  <si>
    <t>15.51 mph</t>
  </si>
  <si>
    <t>184 watts</t>
  </si>
  <si>
    <t>#2</t>
  </si>
  <si>
    <t>1.47 mi</t>
  </si>
  <si>
    <t>2.89 mi</t>
  </si>
  <si>
    <t>23.59 mph</t>
  </si>
  <si>
    <t>173 watts</t>
  </si>
  <si>
    <t>#3</t>
  </si>
  <si>
    <t>0.62 mi</t>
  </si>
  <si>
    <t>3.51 mi</t>
  </si>
  <si>
    <t>15.86 mph</t>
  </si>
  <si>
    <t>185 watts</t>
  </si>
  <si>
    <t>#4</t>
  </si>
  <si>
    <t>0.19 mi</t>
  </si>
  <si>
    <t>3.70 mi</t>
  </si>
  <si>
    <t>21.48 mph</t>
  </si>
  <si>
    <t>171 watts</t>
  </si>
  <si>
    <t>#5</t>
  </si>
  <si>
    <t>0.48 mi</t>
  </si>
  <si>
    <t>4.18 mi</t>
  </si>
  <si>
    <t>22.63 mph</t>
  </si>
  <si>
    <t>179 watts</t>
  </si>
  <si>
    <t>#6</t>
  </si>
  <si>
    <t>0.12 mi</t>
  </si>
  <si>
    <t>4.30 mi</t>
  </si>
  <si>
    <t>22.30 mph</t>
  </si>
  <si>
    <t>178 watts</t>
  </si>
  <si>
    <t>#7</t>
  </si>
  <si>
    <t>0.90 mi</t>
  </si>
  <si>
    <t>5.20 mi</t>
  </si>
  <si>
    <t>22.48 mph</t>
  </si>
  <si>
    <t>176 watts</t>
  </si>
  <si>
    <t>#8</t>
  </si>
  <si>
    <t>2.37 mi</t>
  </si>
  <si>
    <t>7.57 mi</t>
  </si>
  <si>
    <t>21.65 mph</t>
  </si>
  <si>
    <t>#9</t>
  </si>
  <si>
    <t>0.18 mi</t>
  </si>
  <si>
    <t>7.75 mi</t>
  </si>
  <si>
    <t>21.78 mph</t>
  </si>
  <si>
    <t>180 watts</t>
  </si>
  <si>
    <t>#10</t>
  </si>
  <si>
    <t>0.56 mi</t>
  </si>
  <si>
    <t>8.31 mi</t>
  </si>
  <si>
    <t>23.03 mph</t>
  </si>
  <si>
    <t>#11</t>
  </si>
  <si>
    <t>0.07 mi</t>
  </si>
  <si>
    <t>8.38 mi</t>
  </si>
  <si>
    <t>23.30 mph</t>
  </si>
  <si>
    <t>174 watts</t>
  </si>
  <si>
    <t>#12</t>
  </si>
  <si>
    <t>0.34 mi</t>
  </si>
  <si>
    <t>8.72 mi</t>
  </si>
  <si>
    <t>22.95 mph</t>
  </si>
  <si>
    <t>175 watts</t>
  </si>
  <si>
    <t>#13</t>
  </si>
  <si>
    <t>5.30 mi</t>
  </si>
  <si>
    <t>14.02 mi</t>
  </si>
  <si>
    <t>21.33 mph</t>
  </si>
  <si>
    <t>#14</t>
  </si>
  <si>
    <t>2.12 mi</t>
  </si>
  <si>
    <t>16.14 mi</t>
  </si>
  <si>
    <t>177 watts</t>
  </si>
  <si>
    <t>#15</t>
  </si>
  <si>
    <t>0.15 mi</t>
  </si>
  <si>
    <t>16.29 mi</t>
  </si>
  <si>
    <t>22.18 mph</t>
  </si>
  <si>
    <t>169 watts</t>
  </si>
  <si>
    <t>#16</t>
  </si>
  <si>
    <t>0.17 mi</t>
  </si>
  <si>
    <t>16.46 mi</t>
  </si>
  <si>
    <t>22.08 mph</t>
  </si>
  <si>
    <t>#17</t>
  </si>
  <si>
    <t>0.11 mi</t>
  </si>
  <si>
    <t>16.57 mi</t>
  </si>
  <si>
    <t>21.05 mph</t>
  </si>
  <si>
    <t>#18</t>
  </si>
  <si>
    <t>0.50 mi</t>
  </si>
  <si>
    <t>17.07 mi</t>
  </si>
  <si>
    <t>20.94 mph</t>
  </si>
  <si>
    <t>181 watts</t>
  </si>
  <si>
    <t>#19</t>
  </si>
  <si>
    <t>0.21 mi</t>
  </si>
  <si>
    <t>17.28 mi</t>
  </si>
  <si>
    <t>21.99 mph</t>
  </si>
  <si>
    <t>172 watts</t>
  </si>
  <si>
    <t>#20</t>
  </si>
  <si>
    <t>2.53 mi</t>
  </si>
  <si>
    <t>19.81 mi</t>
  </si>
  <si>
    <t>21.88 mph</t>
  </si>
  <si>
    <t>#21</t>
  </si>
  <si>
    <t>0.40 mi</t>
  </si>
  <si>
    <t>20.21 mi</t>
  </si>
  <si>
    <t>21.12 mph</t>
  </si>
  <si>
    <t>#22</t>
  </si>
  <si>
    <t>0.32 mi</t>
  </si>
  <si>
    <t>20.53 mi</t>
  </si>
  <si>
    <t>19.78 mph</t>
  </si>
  <si>
    <t>#23</t>
  </si>
  <si>
    <t>0.14 mi</t>
  </si>
  <si>
    <t>20.67 mi</t>
  </si>
  <si>
    <t>20.40 mph</t>
  </si>
  <si>
    <t>#24</t>
  </si>
  <si>
    <t>3.78 mi</t>
  </si>
  <si>
    <t>24.45 mi</t>
  </si>
  <si>
    <t>19.93 mph</t>
  </si>
  <si>
    <t>182 watts</t>
  </si>
  <si>
    <t>#25</t>
  </si>
  <si>
    <t>3.29 mi</t>
  </si>
  <si>
    <t>27.74 mi</t>
  </si>
  <si>
    <t>21.08 mph</t>
  </si>
  <si>
    <t>#26</t>
  </si>
  <si>
    <t>3.27 mi</t>
  </si>
  <si>
    <t>31.01 mi</t>
  </si>
  <si>
    <t>19.60 mph</t>
  </si>
  <si>
    <t>#27</t>
  </si>
  <si>
    <t>3.89 mi</t>
  </si>
  <si>
    <t>34.90 mi</t>
  </si>
  <si>
    <t>21.06 mph</t>
  </si>
  <si>
    <t>#28</t>
  </si>
  <si>
    <t>0.33 mi</t>
  </si>
  <si>
    <t>35.23 mi</t>
  </si>
  <si>
    <t>21.52 mph</t>
  </si>
  <si>
    <t>#29</t>
  </si>
  <si>
    <t>0.43 mi</t>
  </si>
  <si>
    <t>35.66 mi</t>
  </si>
  <si>
    <t>20.56 mph</t>
  </si>
  <si>
    <t>#30</t>
  </si>
  <si>
    <t>2.39 mi</t>
  </si>
  <si>
    <t>38.05 mi</t>
  </si>
  <si>
    <t>19.34 mph</t>
  </si>
  <si>
    <t>183 watts</t>
  </si>
  <si>
    <t>#31</t>
  </si>
  <si>
    <t>0.38 mi</t>
  </si>
  <si>
    <t>38.43 mi</t>
  </si>
  <si>
    <t>18.99 mph</t>
  </si>
  <si>
    <t>186 watts</t>
  </si>
  <si>
    <t>#32</t>
  </si>
  <si>
    <t>5.54 mi</t>
  </si>
  <si>
    <t>43.97 mi</t>
  </si>
  <si>
    <t>19.59 mph</t>
  </si>
  <si>
    <t>#33</t>
  </si>
  <si>
    <t>2.81 mi</t>
  </si>
  <si>
    <t>46.78 mi</t>
  </si>
  <si>
    <t>19.89 mph</t>
  </si>
  <si>
    <t>#34</t>
  </si>
  <si>
    <t>47.40 mi</t>
  </si>
  <si>
    <t>18.61 mph</t>
  </si>
  <si>
    <t>#35</t>
  </si>
  <si>
    <t>0.23 mi</t>
  </si>
  <si>
    <t>47.63 mi</t>
  </si>
  <si>
    <t>18.20 mph</t>
  </si>
  <si>
    <t>#36</t>
  </si>
  <si>
    <t>0.42 mi</t>
  </si>
  <si>
    <t>48.05 mi</t>
  </si>
  <si>
    <t>19.04 mph</t>
  </si>
  <si>
    <t>#37</t>
  </si>
  <si>
    <t>48.37 mi</t>
  </si>
  <si>
    <t>19.14 mph</t>
  </si>
  <si>
    <t>#38</t>
  </si>
  <si>
    <t>2.64 mi</t>
  </si>
  <si>
    <t>51.01 mi</t>
  </si>
  <si>
    <t>19.39 mph</t>
  </si>
  <si>
    <t>#39</t>
  </si>
  <si>
    <t>51.08 mi</t>
  </si>
  <si>
    <t>18.85 mph</t>
  </si>
  <si>
    <t>188 watts</t>
  </si>
  <si>
    <t>#40</t>
  </si>
  <si>
    <t>0.64 mi</t>
  </si>
  <si>
    <t>51.72 mi</t>
  </si>
  <si>
    <t>18.83 mph</t>
  </si>
  <si>
    <t>#41</t>
  </si>
  <si>
    <t>0.27 mi</t>
  </si>
  <si>
    <t>51.99 mi</t>
  </si>
  <si>
    <t>18.36 mph</t>
  </si>
  <si>
    <t>#42</t>
  </si>
  <si>
    <t>0.63 mi</t>
  </si>
  <si>
    <t>52.62 mi</t>
  </si>
  <si>
    <t>25.88 mph</t>
  </si>
  <si>
    <t>156 watts</t>
  </si>
  <si>
    <t>#43</t>
  </si>
  <si>
    <t>54.09 mi</t>
  </si>
  <si>
    <t>18.19 mph</t>
  </si>
  <si>
    <t>#44</t>
  </si>
  <si>
    <t>1.77 mi</t>
  </si>
  <si>
    <t>55.86 mi</t>
  </si>
  <si>
    <t>27.71 mph</t>
  </si>
  <si>
    <t>Interval</t>
  </si>
  <si>
    <t>Int. Time</t>
  </si>
  <si>
    <t>Total Time</t>
  </si>
  <si>
    <t>Int. Dist.</t>
  </si>
  <si>
    <t>Total Dist.</t>
  </si>
  <si>
    <t>Grade</t>
  </si>
  <si>
    <t>Speed</t>
  </si>
  <si>
    <t>Power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</si>
</sst>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[$-F400]h:mm:ss\ AM/PM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20"/>
      <color rgb="FF000000"/>
      <name val="Calibri"/>
      <family val="2"/>
    </font>
    <font>
      <sz val="11"/>
      <color rgb="FF3F3F76"/>
      <name val="Calibri"/>
      <family val="2"/>
      <scheme val="minor"/>
    </font>
    <font>
      <sz val="10"/>
      <color rgb="FF444444"/>
      <name val="Arial"/>
      <family val="2"/>
    </font>
    <font>
      <b/>
      <sz val="10"/>
      <color rgb="FF444444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FFCC99"/>
      </patternFill>
    </fill>
    <fill>
      <patternFill patternType="solid">
        <fgColor rgb="FFFFFFFF"/>
        <bgColor indexed="64"/>
      </patternFill>
    </fill>
    <fill>
      <patternFill patternType="solid">
        <fgColor rgb="FFEFEFEF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CCCCCC"/>
        <bgColor indexed="64"/>
      </patternFill>
    </fill>
  </fills>
  <borders count="8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medium">
        <color rgb="FFDDDDDD"/>
      </top>
      <bottom/>
      <diagonal/>
    </border>
    <border>
      <left/>
      <right style="medium">
        <color rgb="FFFFFFFF"/>
      </right>
      <top/>
      <bottom style="thick">
        <color rgb="FFDDDDDD"/>
      </bottom>
      <diagonal/>
    </border>
    <border>
      <left/>
      <right/>
      <top/>
      <bottom style="thick">
        <color rgb="FFDDDDDD"/>
      </bottom>
      <diagonal/>
    </border>
  </borders>
  <cellStyleXfs count="4">
    <xf numFmtId="0" fontId="0" fillId="0" borderId="0"/>
    <xf numFmtId="0" fontId="2" fillId="2" borderId="0" applyNumberFormat="0" applyBorder="0" applyAlignment="0" applyProtection="0"/>
    <xf numFmtId="0" fontId="1" fillId="3" borderId="1" applyNumberFormat="0" applyFont="0" applyAlignment="0" applyProtection="0"/>
    <xf numFmtId="0" fontId="4" fillId="5" borderId="2" applyNumberFormat="0" applyAlignment="0" applyProtection="0"/>
  </cellStyleXfs>
  <cellXfs count="31">
    <xf numFmtId="0" fontId="0" fillId="0" borderId="0" xfId="0"/>
    <xf numFmtId="0" fontId="0" fillId="4" borderId="0" xfId="0" applyFill="1"/>
    <xf numFmtId="0" fontId="0" fillId="4" borderId="0" xfId="0" applyFill="1" applyAlignment="1">
      <alignment horizontal="center"/>
    </xf>
    <xf numFmtId="1" fontId="0" fillId="4" borderId="0" xfId="0" applyNumberFormat="1" applyFill="1"/>
    <xf numFmtId="0" fontId="0" fillId="4" borderId="3" xfId="0" applyFill="1" applyBorder="1"/>
    <xf numFmtId="1" fontId="0" fillId="4" borderId="3" xfId="0" applyNumberFormat="1" applyFill="1" applyBorder="1"/>
    <xf numFmtId="0" fontId="4" fillId="5" borderId="2" xfId="3"/>
    <xf numFmtId="0" fontId="4" fillId="5" borderId="2" xfId="3" applyAlignment="1">
      <alignment wrapText="1"/>
    </xf>
    <xf numFmtId="0" fontId="0" fillId="4" borderId="4" xfId="0" applyFill="1" applyBorder="1"/>
    <xf numFmtId="0" fontId="0" fillId="0" borderId="4" xfId="0" applyBorder="1"/>
    <xf numFmtId="164" fontId="0" fillId="3" borderId="4" xfId="2" applyNumberFormat="1" applyFont="1" applyBorder="1"/>
    <xf numFmtId="0" fontId="2" fillId="2" borderId="4" xfId="1" applyBorder="1"/>
    <xf numFmtId="1" fontId="0" fillId="3" borderId="4" xfId="2" applyNumberFormat="1" applyFont="1" applyBorder="1"/>
    <xf numFmtId="14" fontId="0" fillId="4" borderId="3" xfId="0" applyNumberFormat="1" applyFill="1" applyBorder="1"/>
    <xf numFmtId="0" fontId="5" fillId="7" borderId="5" xfId="0" applyFont="1" applyFill="1" applyBorder="1" applyAlignment="1">
      <alignment vertical="top" wrapText="1"/>
    </xf>
    <xf numFmtId="21" fontId="5" fillId="8" borderId="5" xfId="0" applyNumberFormat="1" applyFont="1" applyFill="1" applyBorder="1" applyAlignment="1">
      <alignment vertical="top" wrapText="1"/>
    </xf>
    <xf numFmtId="21" fontId="5" fillId="7" borderId="5" xfId="0" applyNumberFormat="1" applyFont="1" applyFill="1" applyBorder="1" applyAlignment="1">
      <alignment vertical="top" wrapText="1"/>
    </xf>
    <xf numFmtId="0" fontId="5" fillId="8" borderId="5" xfId="0" applyFont="1" applyFill="1" applyBorder="1" applyAlignment="1">
      <alignment vertical="top" wrapText="1"/>
    </xf>
    <xf numFmtId="10" fontId="5" fillId="8" borderId="5" xfId="0" applyNumberFormat="1" applyFont="1" applyFill="1" applyBorder="1" applyAlignment="1">
      <alignment vertical="top" wrapText="1"/>
    </xf>
    <xf numFmtId="21" fontId="5" fillId="6" borderId="5" xfId="0" applyNumberFormat="1" applyFont="1" applyFill="1" applyBorder="1" applyAlignment="1">
      <alignment vertical="top" wrapText="1"/>
    </xf>
    <xf numFmtId="0" fontId="5" fillId="6" borderId="5" xfId="0" applyFont="1" applyFill="1" applyBorder="1" applyAlignment="1">
      <alignment vertical="top" wrapText="1"/>
    </xf>
    <xf numFmtId="10" fontId="5" fillId="6" borderId="5" xfId="0" applyNumberFormat="1" applyFont="1" applyFill="1" applyBorder="1" applyAlignment="1">
      <alignment vertical="top" wrapText="1"/>
    </xf>
    <xf numFmtId="21" fontId="5" fillId="9" borderId="5" xfId="0" applyNumberFormat="1" applyFont="1" applyFill="1" applyBorder="1" applyAlignment="1">
      <alignment vertical="top" wrapText="1"/>
    </xf>
    <xf numFmtId="0" fontId="5" fillId="9" borderId="5" xfId="0" applyFont="1" applyFill="1" applyBorder="1" applyAlignment="1">
      <alignment vertical="top" wrapText="1"/>
    </xf>
    <xf numFmtId="10" fontId="5" fillId="9" borderId="5" xfId="0" applyNumberFormat="1" applyFont="1" applyFill="1" applyBorder="1" applyAlignment="1">
      <alignment vertical="top" wrapText="1"/>
    </xf>
    <xf numFmtId="0" fontId="6" fillId="10" borderId="6" xfId="0" applyFont="1" applyFill="1" applyBorder="1" applyAlignment="1">
      <alignment horizontal="left" wrapText="1"/>
    </xf>
    <xf numFmtId="0" fontId="6" fillId="10" borderId="7" xfId="0" applyFont="1" applyFill="1" applyBorder="1" applyAlignment="1">
      <alignment horizontal="left" wrapText="1"/>
    </xf>
    <xf numFmtId="21" fontId="0" fillId="0" borderId="0" xfId="0" applyNumberFormat="1"/>
    <xf numFmtId="165" fontId="0" fillId="0" borderId="0" xfId="0" applyNumberFormat="1"/>
    <xf numFmtId="14" fontId="0" fillId="0" borderId="0" xfId="0" applyNumberFormat="1"/>
    <xf numFmtId="165" fontId="5" fillId="8" borderId="5" xfId="0" applyNumberFormat="1" applyFont="1" applyFill="1" applyBorder="1" applyAlignment="1">
      <alignment vertical="top" wrapText="1"/>
    </xf>
  </cellXfs>
  <cellStyles count="4">
    <cellStyle name="Good" xfId="1" builtinId="26"/>
    <cellStyle name="Input" xfId="3" builtinId="20"/>
    <cellStyle name="Normal" xfId="0" builtinId="0"/>
    <cellStyle name="Note" xfId="2" builtin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361950</xdr:colOff>
          <xdr:row>0</xdr:row>
          <xdr:rowOff>104775</xdr:rowOff>
        </xdr:from>
        <xdr:to>
          <xdr:col>9</xdr:col>
          <xdr:colOff>1238250</xdr:colOff>
          <xdr:row>3</xdr:row>
          <xdr:rowOff>333375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Workout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Z110"/>
  <sheetViews>
    <sheetView tabSelected="1" zoomScale="85" zoomScaleNormal="85" workbookViewId="0">
      <selection activeCell="J18" sqref="J18"/>
    </sheetView>
  </sheetViews>
  <sheetFormatPr defaultColWidth="0" defaultRowHeight="15" zeroHeight="1" x14ac:dyDescent="0.25"/>
  <cols>
    <col min="1" max="1" width="6.42578125" style="1" customWidth="1"/>
    <col min="2" max="2" width="22.28515625" style="1" bestFit="1" customWidth="1"/>
    <col min="3" max="3" width="24.140625" style="1" customWidth="1"/>
    <col min="4" max="4" width="3.85546875" style="1" customWidth="1"/>
    <col min="5" max="5" width="9.5703125" style="1" bestFit="1" customWidth="1"/>
    <col min="6" max="6" width="11" style="1" bestFit="1" customWidth="1"/>
    <col min="7" max="7" width="11.42578125" style="1" customWidth="1"/>
    <col min="8" max="8" width="11.7109375" style="1" customWidth="1"/>
    <col min="9" max="9" width="9.28515625" style="1" customWidth="1"/>
    <col min="10" max="10" width="19.7109375" style="1" customWidth="1"/>
    <col min="11" max="11" width="51.85546875" style="1" hidden="1" customWidth="1"/>
    <col min="12" max="12" width="6.85546875" style="1" customWidth="1"/>
    <col min="13" max="23" width="9.140625" style="1" hidden="1" customWidth="1"/>
    <col min="24" max="26" width="0" style="1" hidden="1" customWidth="1"/>
    <col min="27" max="16384" width="9.140625" style="1" hidden="1"/>
  </cols>
  <sheetData>
    <row r="1" spans="2:11" x14ac:dyDescent="0.25">
      <c r="B1" s="4" t="s">
        <v>3</v>
      </c>
      <c r="C1" s="4">
        <v>255</v>
      </c>
    </row>
    <row r="2" spans="2:11" x14ac:dyDescent="0.25">
      <c r="B2" s="4" t="s">
        <v>6</v>
      </c>
      <c r="C2" s="5">
        <f>SUM(F8:F132)</f>
        <v>90</v>
      </c>
      <c r="D2" s="3"/>
    </row>
    <row r="3" spans="2:11" x14ac:dyDescent="0.25">
      <c r="B3" s="4" t="s">
        <v>5</v>
      </c>
      <c r="C3" s="4">
        <f>COUNT(F8:F144)</f>
        <v>24</v>
      </c>
    </row>
    <row r="4" spans="2:11" ht="30" customHeight="1" x14ac:dyDescent="0.25">
      <c r="B4" s="4" t="s">
        <v>7</v>
      </c>
      <c r="C4" s="7" t="s">
        <v>10</v>
      </c>
    </row>
    <row r="5" spans="2:11" x14ac:dyDescent="0.25">
      <c r="B5" s="4" t="s">
        <v>8</v>
      </c>
      <c r="C5" s="6" t="s">
        <v>4</v>
      </c>
    </row>
    <row r="6" spans="2:11" x14ac:dyDescent="0.25">
      <c r="B6" s="4" t="s">
        <v>11</v>
      </c>
      <c r="C6" s="4">
        <v>2</v>
      </c>
    </row>
    <row r="7" spans="2:11" x14ac:dyDescent="0.25">
      <c r="B7" s="4" t="s">
        <v>12</v>
      </c>
      <c r="C7" s="13">
        <f ca="1">TODAY()</f>
        <v>43600</v>
      </c>
      <c r="E7" s="8" t="s">
        <v>9</v>
      </c>
      <c r="F7" s="8" t="s">
        <v>0</v>
      </c>
      <c r="G7" s="8" t="s">
        <v>2</v>
      </c>
      <c r="H7" s="8" t="s">
        <v>2</v>
      </c>
      <c r="I7" s="8" t="s">
        <v>1</v>
      </c>
    </row>
    <row r="8" spans="2:11" x14ac:dyDescent="0.25">
      <c r="E8" s="9">
        <v>1</v>
      </c>
      <c r="F8" s="10">
        <v>3.5</v>
      </c>
      <c r="G8" s="11">
        <v>50</v>
      </c>
      <c r="H8" s="9">
        <f t="shared" ref="H8:H39" si="0">G8/100</f>
        <v>0.5</v>
      </c>
      <c r="I8" s="9">
        <f t="shared" ref="I8:I39" si="1">F8*60</f>
        <v>210</v>
      </c>
      <c r="J8" s="3"/>
      <c r="K8" s="2" t="str">
        <f>TEXT("&lt;SteadyState Duration=","")&amp;TEXT(CHAR(34),"")&amp;TEXT(I8,0)&amp;TEXT(CHAR(34),"")&amp;TEXT(CHAR(32),"")&amp;TEXT("Power=","")&amp;TEXT(CHAR(34),"")&amp;TEXT(H8,"0.000")&amp;TEXT(CHAR(34),"")&amp;TEXT("/&gt;","")</f>
        <v>&lt;SteadyState Duration="210" Power="0.500"/&gt;</v>
      </c>
    </row>
    <row r="9" spans="2:11" x14ac:dyDescent="0.25">
      <c r="E9" s="9">
        <v>2</v>
      </c>
      <c r="F9" s="10">
        <v>3.5</v>
      </c>
      <c r="G9" s="11">
        <v>75</v>
      </c>
      <c r="H9" s="9">
        <f t="shared" si="0"/>
        <v>0.75</v>
      </c>
      <c r="I9" s="9">
        <f t="shared" si="1"/>
        <v>210</v>
      </c>
      <c r="J9" s="3"/>
      <c r="K9" s="2" t="str">
        <f t="shared" ref="K9:K73" si="2">TEXT("&lt;SteadyState Duration=","")&amp;TEXT(CHAR(34),"")&amp;TEXT(I9,0)&amp;TEXT(CHAR(34),"")&amp;TEXT(CHAR(32),"")&amp;TEXT("Power=","")&amp;TEXT(CHAR(34),"")&amp;TEXT(H9,"0.000")&amp;TEXT(CHAR(34),"")&amp;TEXT("/&gt;","")</f>
        <v>&lt;SteadyState Duration="210" Power="0.750"/&gt;</v>
      </c>
    </row>
    <row r="10" spans="2:11" x14ac:dyDescent="0.25">
      <c r="E10" s="9">
        <v>3</v>
      </c>
      <c r="F10" s="10">
        <v>3</v>
      </c>
      <c r="G10" s="11">
        <v>95</v>
      </c>
      <c r="H10" s="9">
        <f t="shared" si="0"/>
        <v>0.95</v>
      </c>
      <c r="I10" s="9">
        <f t="shared" si="1"/>
        <v>180</v>
      </c>
      <c r="J10" s="3"/>
      <c r="K10" s="2" t="str">
        <f t="shared" si="2"/>
        <v>&lt;SteadyState Duration="180" Power="0.950"/&gt;</v>
      </c>
    </row>
    <row r="11" spans="2:11" x14ac:dyDescent="0.25">
      <c r="E11" s="9">
        <v>4</v>
      </c>
      <c r="F11" s="10">
        <v>5</v>
      </c>
      <c r="G11" s="11">
        <v>40</v>
      </c>
      <c r="H11" s="9">
        <f t="shared" si="0"/>
        <v>0.4</v>
      </c>
      <c r="I11" s="9">
        <f t="shared" si="1"/>
        <v>300</v>
      </c>
      <c r="J11" s="3"/>
      <c r="K11" s="2" t="str">
        <f t="shared" si="2"/>
        <v>&lt;SteadyState Duration="300" Power="0.400"/&gt;</v>
      </c>
    </row>
    <row r="12" spans="2:11" x14ac:dyDescent="0.25">
      <c r="E12" s="9">
        <v>5</v>
      </c>
      <c r="F12" s="10">
        <v>0.5</v>
      </c>
      <c r="G12" s="11">
        <v>75</v>
      </c>
      <c r="H12" s="9">
        <f t="shared" si="0"/>
        <v>0.75</v>
      </c>
      <c r="I12" s="9">
        <f t="shared" si="1"/>
        <v>30</v>
      </c>
      <c r="J12" s="3"/>
      <c r="K12" s="2" t="str">
        <f t="shared" si="2"/>
        <v>&lt;SteadyState Duration="30" Power="0.750"/&gt;</v>
      </c>
    </row>
    <row r="13" spans="2:11" x14ac:dyDescent="0.25">
      <c r="E13" s="9">
        <v>6</v>
      </c>
      <c r="F13" s="10">
        <v>4.5</v>
      </c>
      <c r="G13" s="11">
        <v>95</v>
      </c>
      <c r="H13" s="9">
        <f t="shared" si="0"/>
        <v>0.95</v>
      </c>
      <c r="I13" s="9">
        <f t="shared" si="1"/>
        <v>270</v>
      </c>
      <c r="J13" s="3"/>
      <c r="K13" s="2" t="str">
        <f t="shared" si="2"/>
        <v>&lt;SteadyState Duration="270" Power="0.950"/&gt;</v>
      </c>
    </row>
    <row r="14" spans="2:11" x14ac:dyDescent="0.25">
      <c r="E14" s="9">
        <v>7</v>
      </c>
      <c r="F14" s="10">
        <v>5</v>
      </c>
      <c r="G14" s="11">
        <v>97</v>
      </c>
      <c r="H14" s="9">
        <f t="shared" si="0"/>
        <v>0.97</v>
      </c>
      <c r="I14" s="9">
        <f t="shared" si="1"/>
        <v>300</v>
      </c>
      <c r="J14" s="3"/>
      <c r="K14" s="2" t="str">
        <f t="shared" si="2"/>
        <v>&lt;SteadyState Duration="300" Power="0.970"/&gt;</v>
      </c>
    </row>
    <row r="15" spans="2:11" x14ac:dyDescent="0.25">
      <c r="E15" s="9">
        <v>8</v>
      </c>
      <c r="F15" s="10">
        <v>5.5</v>
      </c>
      <c r="G15" s="11">
        <v>40</v>
      </c>
      <c r="H15" s="9">
        <f t="shared" si="0"/>
        <v>0.4</v>
      </c>
      <c r="I15" s="9">
        <f t="shared" si="1"/>
        <v>330</v>
      </c>
      <c r="J15" s="3"/>
      <c r="K15" s="2" t="str">
        <f t="shared" si="2"/>
        <v>&lt;SteadyState Duration="330" Power="0.400"/&gt;</v>
      </c>
    </row>
    <row r="16" spans="2:11" x14ac:dyDescent="0.25">
      <c r="E16" s="9">
        <v>9</v>
      </c>
      <c r="F16" s="10">
        <v>0.5</v>
      </c>
      <c r="G16" s="11">
        <v>75</v>
      </c>
      <c r="H16" s="9">
        <f t="shared" si="0"/>
        <v>0.75</v>
      </c>
      <c r="I16" s="9">
        <f t="shared" si="1"/>
        <v>30</v>
      </c>
      <c r="J16" s="3"/>
      <c r="K16" s="2" t="str">
        <f t="shared" si="2"/>
        <v>&lt;SteadyState Duration="30" Power="0.750"/&gt;</v>
      </c>
    </row>
    <row r="17" spans="5:11" x14ac:dyDescent="0.25">
      <c r="E17" s="9">
        <v>10</v>
      </c>
      <c r="F17" s="10">
        <v>4.5</v>
      </c>
      <c r="G17" s="11">
        <v>97</v>
      </c>
      <c r="H17" s="9">
        <f t="shared" si="0"/>
        <v>0.97</v>
      </c>
      <c r="I17" s="9">
        <f t="shared" si="1"/>
        <v>270</v>
      </c>
      <c r="J17" s="3"/>
      <c r="K17" s="2" t="str">
        <f t="shared" si="2"/>
        <v>&lt;SteadyState Duration="270" Power="0.970"/&gt;</v>
      </c>
    </row>
    <row r="18" spans="5:11" x14ac:dyDescent="0.25">
      <c r="E18" s="9">
        <v>11</v>
      </c>
      <c r="F18" s="10">
        <v>5</v>
      </c>
      <c r="G18" s="11">
        <v>99</v>
      </c>
      <c r="H18" s="9">
        <f t="shared" si="0"/>
        <v>0.99</v>
      </c>
      <c r="I18" s="9">
        <f t="shared" si="1"/>
        <v>300</v>
      </c>
      <c r="J18" s="3"/>
      <c r="K18" s="2" t="str">
        <f t="shared" si="2"/>
        <v>&lt;SteadyState Duration="300" Power="0.990"/&gt;</v>
      </c>
    </row>
    <row r="19" spans="5:11" x14ac:dyDescent="0.25">
      <c r="E19" s="9">
        <v>12</v>
      </c>
      <c r="F19" s="10">
        <v>5.5</v>
      </c>
      <c r="G19" s="11">
        <v>40</v>
      </c>
      <c r="H19" s="9">
        <f t="shared" si="0"/>
        <v>0.4</v>
      </c>
      <c r="I19" s="9">
        <f t="shared" si="1"/>
        <v>330</v>
      </c>
      <c r="J19" s="3"/>
      <c r="K19" s="2" t="str">
        <f t="shared" si="2"/>
        <v>&lt;SteadyState Duration="330" Power="0.400"/&gt;</v>
      </c>
    </row>
    <row r="20" spans="5:11" x14ac:dyDescent="0.25">
      <c r="E20" s="9">
        <v>13</v>
      </c>
      <c r="F20" s="10">
        <v>0.5</v>
      </c>
      <c r="G20" s="11">
        <v>75</v>
      </c>
      <c r="H20" s="9">
        <f t="shared" si="0"/>
        <v>0.75</v>
      </c>
      <c r="I20" s="9">
        <f t="shared" si="1"/>
        <v>30</v>
      </c>
      <c r="J20" s="3"/>
      <c r="K20" s="2" t="str">
        <f t="shared" si="2"/>
        <v>&lt;SteadyState Duration="30" Power="0.750"/&gt;</v>
      </c>
    </row>
    <row r="21" spans="5:11" x14ac:dyDescent="0.25">
      <c r="E21" s="9">
        <v>14</v>
      </c>
      <c r="F21" s="10">
        <v>4.5</v>
      </c>
      <c r="G21" s="11">
        <v>99</v>
      </c>
      <c r="H21" s="9">
        <f t="shared" si="0"/>
        <v>0.99</v>
      </c>
      <c r="I21" s="9">
        <f t="shared" si="1"/>
        <v>270</v>
      </c>
      <c r="J21" s="3"/>
      <c r="K21" s="2" t="str">
        <f t="shared" si="2"/>
        <v>&lt;SteadyState Duration="270" Power="0.990"/&gt;</v>
      </c>
    </row>
    <row r="22" spans="5:11" x14ac:dyDescent="0.25">
      <c r="E22" s="9">
        <v>15</v>
      </c>
      <c r="F22" s="10">
        <v>5</v>
      </c>
      <c r="G22" s="11">
        <v>97</v>
      </c>
      <c r="H22" s="9">
        <f t="shared" si="0"/>
        <v>0.97</v>
      </c>
      <c r="I22" s="9">
        <f t="shared" si="1"/>
        <v>300</v>
      </c>
      <c r="J22" s="3"/>
      <c r="K22" s="2" t="str">
        <f t="shared" si="2"/>
        <v>&lt;SteadyState Duration="300" Power="0.970"/&gt;</v>
      </c>
    </row>
    <row r="23" spans="5:11" x14ac:dyDescent="0.25">
      <c r="E23" s="9">
        <v>16</v>
      </c>
      <c r="F23" s="10">
        <v>5.5</v>
      </c>
      <c r="G23" s="11">
        <v>40</v>
      </c>
      <c r="H23" s="9">
        <f t="shared" si="0"/>
        <v>0.4</v>
      </c>
      <c r="I23" s="9">
        <f t="shared" si="1"/>
        <v>330</v>
      </c>
      <c r="J23" s="3"/>
      <c r="K23" s="2" t="str">
        <f t="shared" si="2"/>
        <v>&lt;SteadyState Duration="330" Power="0.400"/&gt;</v>
      </c>
    </row>
    <row r="24" spans="5:11" x14ac:dyDescent="0.25">
      <c r="E24" s="9">
        <v>17</v>
      </c>
      <c r="F24" s="10">
        <v>0.5</v>
      </c>
      <c r="G24" s="11">
        <v>75</v>
      </c>
      <c r="H24" s="9">
        <f t="shared" si="0"/>
        <v>0.75</v>
      </c>
      <c r="I24" s="9">
        <f t="shared" si="1"/>
        <v>30</v>
      </c>
      <c r="J24" s="3"/>
      <c r="K24" s="2" t="str">
        <f t="shared" si="2"/>
        <v>&lt;SteadyState Duration="30" Power="0.750"/&gt;</v>
      </c>
    </row>
    <row r="25" spans="5:11" x14ac:dyDescent="0.25">
      <c r="E25" s="9">
        <v>18</v>
      </c>
      <c r="F25" s="10">
        <v>4.5</v>
      </c>
      <c r="G25" s="11">
        <v>95</v>
      </c>
      <c r="H25" s="9">
        <f t="shared" si="0"/>
        <v>0.95</v>
      </c>
      <c r="I25" s="9">
        <f t="shared" si="1"/>
        <v>270</v>
      </c>
      <c r="J25" s="3"/>
      <c r="K25" s="2" t="str">
        <f t="shared" si="2"/>
        <v>&lt;SteadyState Duration="270" Power="0.950"/&gt;</v>
      </c>
    </row>
    <row r="26" spans="5:11" x14ac:dyDescent="0.25">
      <c r="E26" s="9">
        <v>19</v>
      </c>
      <c r="F26" s="10">
        <v>5</v>
      </c>
      <c r="G26" s="11">
        <v>99</v>
      </c>
      <c r="H26" s="9">
        <f t="shared" si="0"/>
        <v>0.99</v>
      </c>
      <c r="I26" s="9">
        <f t="shared" si="1"/>
        <v>300</v>
      </c>
      <c r="J26" s="3"/>
      <c r="K26" s="2" t="str">
        <f t="shared" si="2"/>
        <v>&lt;SteadyState Duration="300" Power="0.990"/&gt;</v>
      </c>
    </row>
    <row r="27" spans="5:11" x14ac:dyDescent="0.25">
      <c r="E27" s="9">
        <v>20</v>
      </c>
      <c r="F27" s="10">
        <v>5.5</v>
      </c>
      <c r="G27" s="11">
        <v>40</v>
      </c>
      <c r="H27" s="9">
        <f t="shared" si="0"/>
        <v>0.4</v>
      </c>
      <c r="I27" s="9">
        <f t="shared" si="1"/>
        <v>330</v>
      </c>
      <c r="J27" s="3"/>
      <c r="K27" s="2" t="str">
        <f t="shared" si="2"/>
        <v>&lt;SteadyState Duration="330" Power="0.400"/&gt;</v>
      </c>
    </row>
    <row r="28" spans="5:11" x14ac:dyDescent="0.25">
      <c r="E28" s="9">
        <v>21</v>
      </c>
      <c r="F28" s="10">
        <v>0.5</v>
      </c>
      <c r="G28" s="11">
        <v>75</v>
      </c>
      <c r="H28" s="9">
        <f t="shared" si="0"/>
        <v>0.75</v>
      </c>
      <c r="I28" s="9">
        <f t="shared" si="1"/>
        <v>30</v>
      </c>
      <c r="J28" s="3"/>
      <c r="K28" s="2" t="str">
        <f t="shared" si="2"/>
        <v>&lt;SteadyState Duration="30" Power="0.750"/&gt;</v>
      </c>
    </row>
    <row r="29" spans="5:11" x14ac:dyDescent="0.25">
      <c r="E29" s="9">
        <v>22</v>
      </c>
      <c r="F29" s="10">
        <v>4.5</v>
      </c>
      <c r="G29" s="11">
        <v>97</v>
      </c>
      <c r="H29" s="9">
        <f t="shared" si="0"/>
        <v>0.97</v>
      </c>
      <c r="I29" s="9">
        <f t="shared" si="1"/>
        <v>270</v>
      </c>
      <c r="J29" s="3"/>
      <c r="K29" s="2" t="str">
        <f t="shared" si="2"/>
        <v>&lt;SteadyState Duration="270" Power="0.970"/&gt;</v>
      </c>
    </row>
    <row r="30" spans="5:11" x14ac:dyDescent="0.25">
      <c r="E30" s="9">
        <v>23</v>
      </c>
      <c r="F30" s="10">
        <v>5</v>
      </c>
      <c r="G30" s="11">
        <v>93</v>
      </c>
      <c r="H30" s="9">
        <f t="shared" si="0"/>
        <v>0.93</v>
      </c>
      <c r="I30" s="9">
        <f t="shared" si="1"/>
        <v>300</v>
      </c>
      <c r="J30" s="3"/>
      <c r="K30" s="2" t="str">
        <f t="shared" si="2"/>
        <v>&lt;SteadyState Duration="300" Power="0.930"/&gt;</v>
      </c>
    </row>
    <row r="31" spans="5:11" x14ac:dyDescent="0.25">
      <c r="E31" s="9">
        <v>24</v>
      </c>
      <c r="F31" s="10">
        <v>3</v>
      </c>
      <c r="G31" s="11">
        <v>40</v>
      </c>
      <c r="H31" s="9">
        <f t="shared" si="0"/>
        <v>0.4</v>
      </c>
      <c r="I31" s="9">
        <f t="shared" si="1"/>
        <v>180</v>
      </c>
      <c r="J31" s="3"/>
      <c r="K31" s="2" t="str">
        <f t="shared" si="2"/>
        <v>&lt;SteadyState Duration="180" Power="0.400"/&gt;</v>
      </c>
    </row>
    <row r="32" spans="5:11" x14ac:dyDescent="0.25">
      <c r="E32" s="9">
        <v>25</v>
      </c>
      <c r="F32" s="10"/>
      <c r="G32" s="11"/>
      <c r="H32" s="9">
        <f t="shared" si="0"/>
        <v>0</v>
      </c>
      <c r="I32" s="9">
        <f t="shared" si="1"/>
        <v>0</v>
      </c>
      <c r="J32" s="3"/>
      <c r="K32" s="2" t="str">
        <f t="shared" si="2"/>
        <v>&lt;SteadyState Duration="0" Power="0.000"/&gt;</v>
      </c>
    </row>
    <row r="33" spans="5:11" x14ac:dyDescent="0.25">
      <c r="E33" s="9">
        <v>26</v>
      </c>
      <c r="F33" s="10"/>
      <c r="G33" s="11"/>
      <c r="H33" s="9">
        <f t="shared" si="0"/>
        <v>0</v>
      </c>
      <c r="I33" s="9">
        <f t="shared" si="1"/>
        <v>0</v>
      </c>
      <c r="J33" s="3"/>
      <c r="K33" s="2" t="str">
        <f t="shared" si="2"/>
        <v>&lt;SteadyState Duration="0" Power="0.000"/&gt;</v>
      </c>
    </row>
    <row r="34" spans="5:11" x14ac:dyDescent="0.25">
      <c r="E34" s="9">
        <v>27</v>
      </c>
      <c r="F34" s="10"/>
      <c r="G34" s="11"/>
      <c r="H34" s="9">
        <f t="shared" si="0"/>
        <v>0</v>
      </c>
      <c r="I34" s="9">
        <f t="shared" si="1"/>
        <v>0</v>
      </c>
      <c r="J34" s="3"/>
      <c r="K34" s="2" t="str">
        <f t="shared" si="2"/>
        <v>&lt;SteadyState Duration="0" Power="0.000"/&gt;</v>
      </c>
    </row>
    <row r="35" spans="5:11" x14ac:dyDescent="0.25">
      <c r="E35" s="9">
        <v>28</v>
      </c>
      <c r="F35" s="10"/>
      <c r="G35" s="11"/>
      <c r="H35" s="9">
        <f t="shared" si="0"/>
        <v>0</v>
      </c>
      <c r="I35" s="9">
        <f t="shared" si="1"/>
        <v>0</v>
      </c>
      <c r="J35" s="3"/>
      <c r="K35" s="2" t="str">
        <f t="shared" si="2"/>
        <v>&lt;SteadyState Duration="0" Power="0.000"/&gt;</v>
      </c>
    </row>
    <row r="36" spans="5:11" x14ac:dyDescent="0.25">
      <c r="E36" s="9">
        <v>29</v>
      </c>
      <c r="F36" s="10"/>
      <c r="G36" s="11"/>
      <c r="H36" s="9">
        <f t="shared" si="0"/>
        <v>0</v>
      </c>
      <c r="I36" s="9">
        <f t="shared" si="1"/>
        <v>0</v>
      </c>
      <c r="J36" s="3"/>
      <c r="K36" s="2" t="str">
        <f t="shared" si="2"/>
        <v>&lt;SteadyState Duration="0" Power="0.000"/&gt;</v>
      </c>
    </row>
    <row r="37" spans="5:11" x14ac:dyDescent="0.25">
      <c r="E37" s="9">
        <v>30</v>
      </c>
      <c r="F37" s="10"/>
      <c r="G37" s="11"/>
      <c r="H37" s="9">
        <f t="shared" si="0"/>
        <v>0</v>
      </c>
      <c r="I37" s="9">
        <f t="shared" si="1"/>
        <v>0</v>
      </c>
      <c r="J37" s="3"/>
      <c r="K37" s="2" t="str">
        <f t="shared" si="2"/>
        <v>&lt;SteadyState Duration="0" Power="0.000"/&gt;</v>
      </c>
    </row>
    <row r="38" spans="5:11" x14ac:dyDescent="0.25">
      <c r="E38" s="9">
        <v>31</v>
      </c>
      <c r="F38" s="10"/>
      <c r="G38" s="11"/>
      <c r="H38" s="9">
        <f t="shared" si="0"/>
        <v>0</v>
      </c>
      <c r="I38" s="9">
        <f t="shared" si="1"/>
        <v>0</v>
      </c>
      <c r="J38" s="3"/>
      <c r="K38" s="2" t="str">
        <f t="shared" si="2"/>
        <v>&lt;SteadyState Duration="0" Power="0.000"/&gt;</v>
      </c>
    </row>
    <row r="39" spans="5:11" x14ac:dyDescent="0.25">
      <c r="E39" s="9">
        <v>32</v>
      </c>
      <c r="F39" s="10"/>
      <c r="G39" s="11"/>
      <c r="H39" s="9">
        <f t="shared" si="0"/>
        <v>0</v>
      </c>
      <c r="I39" s="9">
        <f t="shared" si="1"/>
        <v>0</v>
      </c>
      <c r="J39" s="3"/>
      <c r="K39" s="2" t="str">
        <f t="shared" si="2"/>
        <v>&lt;SteadyState Duration="0" Power="0.000"/&gt;</v>
      </c>
    </row>
    <row r="40" spans="5:11" x14ac:dyDescent="0.25">
      <c r="E40" s="9">
        <v>33</v>
      </c>
      <c r="F40" s="10"/>
      <c r="G40" s="11"/>
      <c r="H40" s="9">
        <f t="shared" ref="H40:H71" si="3">G40/100</f>
        <v>0</v>
      </c>
      <c r="I40" s="9">
        <f t="shared" ref="I40:I71" si="4">F40*60</f>
        <v>0</v>
      </c>
      <c r="J40" s="3"/>
      <c r="K40" s="2" t="str">
        <f t="shared" si="2"/>
        <v>&lt;SteadyState Duration="0" Power="0.000"/&gt;</v>
      </c>
    </row>
    <row r="41" spans="5:11" x14ac:dyDescent="0.25">
      <c r="E41" s="9">
        <v>34</v>
      </c>
      <c r="F41" s="10"/>
      <c r="G41" s="11"/>
      <c r="H41" s="9">
        <f t="shared" si="3"/>
        <v>0</v>
      </c>
      <c r="I41" s="9">
        <f t="shared" si="4"/>
        <v>0</v>
      </c>
      <c r="J41" s="3"/>
      <c r="K41" s="2" t="str">
        <f t="shared" si="2"/>
        <v>&lt;SteadyState Duration="0" Power="0.000"/&gt;</v>
      </c>
    </row>
    <row r="42" spans="5:11" x14ac:dyDescent="0.25">
      <c r="E42" s="9">
        <v>35</v>
      </c>
      <c r="F42" s="10"/>
      <c r="G42" s="11"/>
      <c r="H42" s="9">
        <f t="shared" si="3"/>
        <v>0</v>
      </c>
      <c r="I42" s="9">
        <f t="shared" si="4"/>
        <v>0</v>
      </c>
      <c r="J42" s="3"/>
      <c r="K42" s="2" t="str">
        <f t="shared" si="2"/>
        <v>&lt;SteadyState Duration="0" Power="0.000"/&gt;</v>
      </c>
    </row>
    <row r="43" spans="5:11" x14ac:dyDescent="0.25">
      <c r="E43" s="9">
        <v>36</v>
      </c>
      <c r="F43" s="10"/>
      <c r="G43" s="11"/>
      <c r="H43" s="9">
        <f t="shared" si="3"/>
        <v>0</v>
      </c>
      <c r="I43" s="9">
        <f t="shared" si="4"/>
        <v>0</v>
      </c>
      <c r="J43" s="3"/>
      <c r="K43" s="2" t="str">
        <f t="shared" si="2"/>
        <v>&lt;SteadyState Duration="0" Power="0.000"/&gt;</v>
      </c>
    </row>
    <row r="44" spans="5:11" x14ac:dyDescent="0.25">
      <c r="E44" s="9">
        <v>37</v>
      </c>
      <c r="F44" s="10"/>
      <c r="G44" s="11"/>
      <c r="H44" s="9">
        <f t="shared" si="3"/>
        <v>0</v>
      </c>
      <c r="I44" s="9">
        <f t="shared" si="4"/>
        <v>0</v>
      </c>
      <c r="J44" s="3"/>
      <c r="K44" s="2" t="str">
        <f t="shared" si="2"/>
        <v>&lt;SteadyState Duration="0" Power="0.000"/&gt;</v>
      </c>
    </row>
    <row r="45" spans="5:11" x14ac:dyDescent="0.25">
      <c r="E45" s="9">
        <v>38</v>
      </c>
      <c r="F45" s="10"/>
      <c r="G45" s="11"/>
      <c r="H45" s="9">
        <f t="shared" si="3"/>
        <v>0</v>
      </c>
      <c r="I45" s="9">
        <f t="shared" si="4"/>
        <v>0</v>
      </c>
      <c r="J45" s="3"/>
      <c r="K45" s="2" t="str">
        <f t="shared" si="2"/>
        <v>&lt;SteadyState Duration="0" Power="0.000"/&gt;</v>
      </c>
    </row>
    <row r="46" spans="5:11" x14ac:dyDescent="0.25">
      <c r="E46" s="9">
        <v>39</v>
      </c>
      <c r="F46" s="10"/>
      <c r="G46" s="11"/>
      <c r="H46" s="9">
        <f t="shared" si="3"/>
        <v>0</v>
      </c>
      <c r="I46" s="9">
        <f t="shared" si="4"/>
        <v>0</v>
      </c>
      <c r="J46" s="3"/>
      <c r="K46" s="2" t="str">
        <f t="shared" si="2"/>
        <v>&lt;SteadyState Duration="0" Power="0.000"/&gt;</v>
      </c>
    </row>
    <row r="47" spans="5:11" x14ac:dyDescent="0.25">
      <c r="E47" s="9">
        <v>40</v>
      </c>
      <c r="F47" s="10"/>
      <c r="G47" s="11"/>
      <c r="H47" s="9">
        <f t="shared" si="3"/>
        <v>0</v>
      </c>
      <c r="I47" s="9">
        <f t="shared" si="4"/>
        <v>0</v>
      </c>
      <c r="J47" s="3"/>
      <c r="K47" s="2" t="str">
        <f t="shared" si="2"/>
        <v>&lt;SteadyState Duration="0" Power="0.000"/&gt;</v>
      </c>
    </row>
    <row r="48" spans="5:11" x14ac:dyDescent="0.25">
      <c r="E48" s="9">
        <v>41</v>
      </c>
      <c r="F48" s="10"/>
      <c r="G48" s="11"/>
      <c r="H48" s="9">
        <f t="shared" si="3"/>
        <v>0</v>
      </c>
      <c r="I48" s="9">
        <f t="shared" si="4"/>
        <v>0</v>
      </c>
      <c r="J48" s="3"/>
      <c r="K48" s="2" t="str">
        <f t="shared" si="2"/>
        <v>&lt;SteadyState Duration="0" Power="0.000"/&gt;</v>
      </c>
    </row>
    <row r="49" spans="5:11" x14ac:dyDescent="0.25">
      <c r="E49" s="9">
        <v>42</v>
      </c>
      <c r="F49" s="10"/>
      <c r="G49" s="11"/>
      <c r="H49" s="9">
        <f t="shared" si="3"/>
        <v>0</v>
      </c>
      <c r="I49" s="9">
        <f t="shared" si="4"/>
        <v>0</v>
      </c>
      <c r="J49" s="3"/>
      <c r="K49" s="2" t="str">
        <f t="shared" si="2"/>
        <v>&lt;SteadyState Duration="0" Power="0.000"/&gt;</v>
      </c>
    </row>
    <row r="50" spans="5:11" x14ac:dyDescent="0.25">
      <c r="E50" s="9">
        <v>43</v>
      </c>
      <c r="F50" s="10"/>
      <c r="G50" s="11"/>
      <c r="H50" s="9">
        <f t="shared" si="3"/>
        <v>0</v>
      </c>
      <c r="I50" s="9">
        <f t="shared" si="4"/>
        <v>0</v>
      </c>
      <c r="J50" s="3"/>
      <c r="K50" s="2" t="str">
        <f t="shared" si="2"/>
        <v>&lt;SteadyState Duration="0" Power="0.000"/&gt;</v>
      </c>
    </row>
    <row r="51" spans="5:11" x14ac:dyDescent="0.25">
      <c r="E51" s="9">
        <v>44</v>
      </c>
      <c r="F51" s="10"/>
      <c r="G51" s="11"/>
      <c r="H51" s="9">
        <f t="shared" si="3"/>
        <v>0</v>
      </c>
      <c r="I51" s="9">
        <f t="shared" si="4"/>
        <v>0</v>
      </c>
      <c r="J51" s="3"/>
      <c r="K51" s="2" t="str">
        <f t="shared" si="2"/>
        <v>&lt;SteadyState Duration="0" Power="0.000"/&gt;</v>
      </c>
    </row>
    <row r="52" spans="5:11" x14ac:dyDescent="0.25">
      <c r="E52" s="9">
        <v>45</v>
      </c>
      <c r="F52" s="10"/>
      <c r="G52" s="11"/>
      <c r="H52" s="9">
        <f t="shared" si="3"/>
        <v>0</v>
      </c>
      <c r="I52" s="9">
        <f t="shared" si="4"/>
        <v>0</v>
      </c>
      <c r="J52" s="3"/>
      <c r="K52" s="2" t="str">
        <f t="shared" si="2"/>
        <v>&lt;SteadyState Duration="0" Power="0.000"/&gt;</v>
      </c>
    </row>
    <row r="53" spans="5:11" x14ac:dyDescent="0.25">
      <c r="E53" s="9">
        <v>46</v>
      </c>
      <c r="F53" s="12"/>
      <c r="G53" s="11"/>
      <c r="H53" s="9">
        <f t="shared" si="3"/>
        <v>0</v>
      </c>
      <c r="I53" s="9">
        <f t="shared" si="4"/>
        <v>0</v>
      </c>
      <c r="J53" s="3"/>
      <c r="K53" s="2" t="str">
        <f t="shared" si="2"/>
        <v>&lt;SteadyState Duration="0" Power="0.000"/&gt;</v>
      </c>
    </row>
    <row r="54" spans="5:11" x14ac:dyDescent="0.25">
      <c r="E54" s="9">
        <v>47</v>
      </c>
      <c r="F54" s="12"/>
      <c r="G54" s="11"/>
      <c r="H54" s="9">
        <f t="shared" si="3"/>
        <v>0</v>
      </c>
      <c r="I54" s="9">
        <f t="shared" si="4"/>
        <v>0</v>
      </c>
      <c r="J54" s="3"/>
      <c r="K54" s="2" t="str">
        <f t="shared" si="2"/>
        <v>&lt;SteadyState Duration="0" Power="0.000"/&gt;</v>
      </c>
    </row>
    <row r="55" spans="5:11" x14ac:dyDescent="0.25">
      <c r="E55" s="9">
        <v>48</v>
      </c>
      <c r="F55" s="12"/>
      <c r="G55" s="11"/>
      <c r="H55" s="9">
        <f t="shared" si="3"/>
        <v>0</v>
      </c>
      <c r="I55" s="9">
        <f t="shared" si="4"/>
        <v>0</v>
      </c>
      <c r="J55" s="3"/>
      <c r="K55" s="2" t="str">
        <f t="shared" si="2"/>
        <v>&lt;SteadyState Duration="0" Power="0.000"/&gt;</v>
      </c>
    </row>
    <row r="56" spans="5:11" x14ac:dyDescent="0.25">
      <c r="E56" s="9">
        <v>49</v>
      </c>
      <c r="F56" s="12"/>
      <c r="G56" s="11"/>
      <c r="H56" s="9">
        <f t="shared" si="3"/>
        <v>0</v>
      </c>
      <c r="I56" s="9">
        <f t="shared" si="4"/>
        <v>0</v>
      </c>
      <c r="J56" s="3"/>
      <c r="K56" s="2" t="str">
        <f t="shared" si="2"/>
        <v>&lt;SteadyState Duration="0" Power="0.000"/&gt;</v>
      </c>
    </row>
    <row r="57" spans="5:11" x14ac:dyDescent="0.25">
      <c r="E57" s="9">
        <v>50</v>
      </c>
      <c r="F57" s="12"/>
      <c r="G57" s="11"/>
      <c r="H57" s="9">
        <f t="shared" si="3"/>
        <v>0</v>
      </c>
      <c r="I57" s="9">
        <f t="shared" si="4"/>
        <v>0</v>
      </c>
      <c r="J57" s="3"/>
      <c r="K57" s="2" t="str">
        <f t="shared" si="2"/>
        <v>&lt;SteadyState Duration="0" Power="0.000"/&gt;</v>
      </c>
    </row>
    <row r="58" spans="5:11" x14ac:dyDescent="0.25">
      <c r="E58" s="9">
        <v>51</v>
      </c>
      <c r="F58" s="12"/>
      <c r="G58" s="11"/>
      <c r="H58" s="9">
        <f t="shared" si="3"/>
        <v>0</v>
      </c>
      <c r="I58" s="9">
        <f t="shared" si="4"/>
        <v>0</v>
      </c>
      <c r="J58" s="3"/>
      <c r="K58" s="2" t="str">
        <f t="shared" si="2"/>
        <v>&lt;SteadyState Duration="0" Power="0.000"/&gt;</v>
      </c>
    </row>
    <row r="59" spans="5:11" x14ac:dyDescent="0.25">
      <c r="E59" s="9">
        <v>52</v>
      </c>
      <c r="F59" s="12"/>
      <c r="G59" s="11"/>
      <c r="H59" s="9">
        <f t="shared" si="3"/>
        <v>0</v>
      </c>
      <c r="I59" s="9">
        <f t="shared" si="4"/>
        <v>0</v>
      </c>
      <c r="J59" s="3"/>
      <c r="K59" s="2" t="str">
        <f t="shared" si="2"/>
        <v>&lt;SteadyState Duration="0" Power="0.000"/&gt;</v>
      </c>
    </row>
    <row r="60" spans="5:11" x14ac:dyDescent="0.25">
      <c r="E60" s="9">
        <v>53</v>
      </c>
      <c r="F60" s="12"/>
      <c r="G60" s="11"/>
      <c r="H60" s="9">
        <f t="shared" si="3"/>
        <v>0</v>
      </c>
      <c r="I60" s="9">
        <f t="shared" si="4"/>
        <v>0</v>
      </c>
      <c r="J60" s="3"/>
      <c r="K60" s="2" t="str">
        <f t="shared" si="2"/>
        <v>&lt;SteadyState Duration="0" Power="0.000"/&gt;</v>
      </c>
    </row>
    <row r="61" spans="5:11" x14ac:dyDescent="0.25">
      <c r="E61" s="9">
        <v>54</v>
      </c>
      <c r="F61" s="12"/>
      <c r="G61" s="11"/>
      <c r="H61" s="9">
        <f t="shared" si="3"/>
        <v>0</v>
      </c>
      <c r="I61" s="9">
        <f t="shared" si="4"/>
        <v>0</v>
      </c>
      <c r="J61" s="3"/>
      <c r="K61" s="2" t="str">
        <f t="shared" si="2"/>
        <v>&lt;SteadyState Duration="0" Power="0.000"/&gt;</v>
      </c>
    </row>
    <row r="62" spans="5:11" x14ac:dyDescent="0.25">
      <c r="E62" s="9">
        <v>55</v>
      </c>
      <c r="F62" s="12"/>
      <c r="G62" s="11"/>
      <c r="H62" s="9">
        <f t="shared" si="3"/>
        <v>0</v>
      </c>
      <c r="I62" s="9">
        <f t="shared" si="4"/>
        <v>0</v>
      </c>
      <c r="J62" s="3"/>
      <c r="K62" s="2" t="str">
        <f t="shared" si="2"/>
        <v>&lt;SteadyState Duration="0" Power="0.000"/&gt;</v>
      </c>
    </row>
    <row r="63" spans="5:11" x14ac:dyDescent="0.25">
      <c r="E63" s="9">
        <v>56</v>
      </c>
      <c r="F63" s="12"/>
      <c r="G63" s="11"/>
      <c r="H63" s="9">
        <f t="shared" si="3"/>
        <v>0</v>
      </c>
      <c r="I63" s="9">
        <f t="shared" si="4"/>
        <v>0</v>
      </c>
      <c r="J63" s="3"/>
      <c r="K63" s="2" t="str">
        <f t="shared" si="2"/>
        <v>&lt;SteadyState Duration="0" Power="0.000"/&gt;</v>
      </c>
    </row>
    <row r="64" spans="5:11" x14ac:dyDescent="0.25">
      <c r="E64" s="9">
        <v>57</v>
      </c>
      <c r="F64" s="12"/>
      <c r="G64" s="11"/>
      <c r="H64" s="9">
        <f t="shared" si="3"/>
        <v>0</v>
      </c>
      <c r="I64" s="9">
        <f t="shared" si="4"/>
        <v>0</v>
      </c>
      <c r="J64" s="3"/>
      <c r="K64" s="2" t="str">
        <f t="shared" si="2"/>
        <v>&lt;SteadyState Duration="0" Power="0.000"/&gt;</v>
      </c>
    </row>
    <row r="65" spans="5:11" x14ac:dyDescent="0.25">
      <c r="E65" s="9">
        <v>58</v>
      </c>
      <c r="F65" s="12"/>
      <c r="G65" s="11"/>
      <c r="H65" s="9">
        <f t="shared" si="3"/>
        <v>0</v>
      </c>
      <c r="I65" s="9">
        <f t="shared" si="4"/>
        <v>0</v>
      </c>
      <c r="J65" s="3"/>
      <c r="K65" s="2" t="str">
        <f t="shared" si="2"/>
        <v>&lt;SteadyState Duration="0" Power="0.000"/&gt;</v>
      </c>
    </row>
    <row r="66" spans="5:11" x14ac:dyDescent="0.25">
      <c r="E66" s="9">
        <v>59</v>
      </c>
      <c r="F66" s="12"/>
      <c r="G66" s="11"/>
      <c r="H66" s="9">
        <f t="shared" si="3"/>
        <v>0</v>
      </c>
      <c r="I66" s="9">
        <f t="shared" si="4"/>
        <v>0</v>
      </c>
      <c r="J66" s="3"/>
      <c r="K66" s="2" t="str">
        <f t="shared" si="2"/>
        <v>&lt;SteadyState Duration="0" Power="0.000"/&gt;</v>
      </c>
    </row>
    <row r="67" spans="5:11" x14ac:dyDescent="0.25">
      <c r="E67" s="9">
        <v>60</v>
      </c>
      <c r="F67" s="12"/>
      <c r="G67" s="11"/>
      <c r="H67" s="9">
        <f t="shared" si="3"/>
        <v>0</v>
      </c>
      <c r="I67" s="9">
        <f t="shared" si="4"/>
        <v>0</v>
      </c>
      <c r="J67" s="3"/>
      <c r="K67" s="2" t="str">
        <f t="shared" si="2"/>
        <v>&lt;SteadyState Duration="0" Power="0.000"/&gt;</v>
      </c>
    </row>
    <row r="68" spans="5:11" x14ac:dyDescent="0.25">
      <c r="E68" s="9">
        <v>61</v>
      </c>
      <c r="F68" s="12"/>
      <c r="G68" s="11"/>
      <c r="H68" s="9">
        <f t="shared" si="3"/>
        <v>0</v>
      </c>
      <c r="I68" s="9">
        <f t="shared" si="4"/>
        <v>0</v>
      </c>
      <c r="J68" s="3"/>
      <c r="K68" s="2" t="str">
        <f t="shared" si="2"/>
        <v>&lt;SteadyState Duration="0" Power="0.000"/&gt;</v>
      </c>
    </row>
    <row r="69" spans="5:11" x14ac:dyDescent="0.25">
      <c r="E69" s="9">
        <v>62</v>
      </c>
      <c r="F69" s="12"/>
      <c r="G69" s="11"/>
      <c r="H69" s="9">
        <f t="shared" si="3"/>
        <v>0</v>
      </c>
      <c r="I69" s="9">
        <f t="shared" si="4"/>
        <v>0</v>
      </c>
      <c r="J69" s="3"/>
      <c r="K69" s="2" t="str">
        <f t="shared" si="2"/>
        <v>&lt;SteadyState Duration="0" Power="0.000"/&gt;</v>
      </c>
    </row>
    <row r="70" spans="5:11" x14ac:dyDescent="0.25">
      <c r="E70" s="9">
        <v>63</v>
      </c>
      <c r="F70" s="12"/>
      <c r="G70" s="11"/>
      <c r="H70" s="9">
        <f t="shared" si="3"/>
        <v>0</v>
      </c>
      <c r="I70" s="9">
        <f t="shared" si="4"/>
        <v>0</v>
      </c>
      <c r="J70" s="3"/>
      <c r="K70" s="2" t="str">
        <f t="shared" si="2"/>
        <v>&lt;SteadyState Duration="0" Power="0.000"/&gt;</v>
      </c>
    </row>
    <row r="71" spans="5:11" x14ac:dyDescent="0.25">
      <c r="E71" s="9">
        <v>64</v>
      </c>
      <c r="F71" s="12"/>
      <c r="G71" s="11"/>
      <c r="H71" s="9">
        <f t="shared" si="3"/>
        <v>0</v>
      </c>
      <c r="I71" s="9">
        <f t="shared" si="4"/>
        <v>0</v>
      </c>
      <c r="J71" s="3"/>
      <c r="K71" s="2" t="str">
        <f t="shared" si="2"/>
        <v>&lt;SteadyState Duration="0" Power="0.000"/&gt;</v>
      </c>
    </row>
    <row r="72" spans="5:11" x14ac:dyDescent="0.25">
      <c r="E72" s="9">
        <v>65</v>
      </c>
      <c r="F72" s="12"/>
      <c r="G72" s="11"/>
      <c r="H72" s="9">
        <f t="shared" ref="H72:H96" si="5">G72/100</f>
        <v>0</v>
      </c>
      <c r="I72" s="9">
        <f t="shared" ref="I72:I96" si="6">F72*60</f>
        <v>0</v>
      </c>
      <c r="J72" s="3"/>
      <c r="K72" s="2" t="str">
        <f t="shared" si="2"/>
        <v>&lt;SteadyState Duration="0" Power="0.000"/&gt;</v>
      </c>
    </row>
    <row r="73" spans="5:11" x14ac:dyDescent="0.25">
      <c r="E73" s="9">
        <v>66</v>
      </c>
      <c r="F73" s="12"/>
      <c r="G73" s="11"/>
      <c r="H73" s="9">
        <f t="shared" si="5"/>
        <v>0</v>
      </c>
      <c r="I73" s="9">
        <f t="shared" si="6"/>
        <v>0</v>
      </c>
      <c r="J73" s="3"/>
      <c r="K73" s="2" t="str">
        <f t="shared" si="2"/>
        <v>&lt;SteadyState Duration="0" Power="0.000"/&gt;</v>
      </c>
    </row>
    <row r="74" spans="5:11" x14ac:dyDescent="0.25">
      <c r="E74" s="9">
        <v>67</v>
      </c>
      <c r="F74" s="12"/>
      <c r="G74" s="11"/>
      <c r="H74" s="9">
        <f t="shared" si="5"/>
        <v>0</v>
      </c>
      <c r="I74" s="9">
        <f t="shared" si="6"/>
        <v>0</v>
      </c>
      <c r="J74" s="3"/>
      <c r="K74" s="2" t="str">
        <f t="shared" ref="K74:K80" si="7">TEXT("&lt;SteadyState Duration=","")&amp;TEXT(CHAR(34),"")&amp;TEXT(I74,0)&amp;TEXT(CHAR(34),"")&amp;TEXT(CHAR(32),"")&amp;TEXT("Power=","")&amp;TEXT(CHAR(34),"")&amp;TEXT(H74,"0.000")&amp;TEXT(CHAR(34),"")&amp;TEXT("/&gt;","")</f>
        <v>&lt;SteadyState Duration="0" Power="0.000"/&gt;</v>
      </c>
    </row>
    <row r="75" spans="5:11" x14ac:dyDescent="0.25">
      <c r="E75" s="9">
        <v>68</v>
      </c>
      <c r="F75" s="12"/>
      <c r="G75" s="11"/>
      <c r="H75" s="9">
        <f t="shared" si="5"/>
        <v>0</v>
      </c>
      <c r="I75" s="9">
        <f t="shared" si="6"/>
        <v>0</v>
      </c>
      <c r="J75" s="3"/>
      <c r="K75" s="2" t="str">
        <f t="shared" si="7"/>
        <v>&lt;SteadyState Duration="0" Power="0.000"/&gt;</v>
      </c>
    </row>
    <row r="76" spans="5:11" x14ac:dyDescent="0.25">
      <c r="E76" s="9">
        <v>69</v>
      </c>
      <c r="F76" s="12"/>
      <c r="G76" s="11"/>
      <c r="H76" s="9">
        <f t="shared" si="5"/>
        <v>0</v>
      </c>
      <c r="I76" s="9">
        <f t="shared" si="6"/>
        <v>0</v>
      </c>
      <c r="J76" s="3"/>
      <c r="K76" s="2" t="str">
        <f t="shared" si="7"/>
        <v>&lt;SteadyState Duration="0" Power="0.000"/&gt;</v>
      </c>
    </row>
    <row r="77" spans="5:11" x14ac:dyDescent="0.25">
      <c r="E77" s="9">
        <v>70</v>
      </c>
      <c r="F77" s="12"/>
      <c r="G77" s="11"/>
      <c r="H77" s="9">
        <f t="shared" si="5"/>
        <v>0</v>
      </c>
      <c r="I77" s="9">
        <f t="shared" si="6"/>
        <v>0</v>
      </c>
      <c r="J77" s="3"/>
      <c r="K77" s="2" t="str">
        <f t="shared" si="7"/>
        <v>&lt;SteadyState Duration="0" Power="0.000"/&gt;</v>
      </c>
    </row>
    <row r="78" spans="5:11" x14ac:dyDescent="0.25">
      <c r="E78" s="9">
        <v>71</v>
      </c>
      <c r="F78" s="12"/>
      <c r="G78" s="11"/>
      <c r="H78" s="9">
        <f t="shared" si="5"/>
        <v>0</v>
      </c>
      <c r="I78" s="9">
        <f t="shared" si="6"/>
        <v>0</v>
      </c>
      <c r="J78" s="3"/>
      <c r="K78" s="2" t="str">
        <f t="shared" si="7"/>
        <v>&lt;SteadyState Duration="0" Power="0.000"/&gt;</v>
      </c>
    </row>
    <row r="79" spans="5:11" x14ac:dyDescent="0.25">
      <c r="E79" s="9">
        <v>72</v>
      </c>
      <c r="F79" s="12"/>
      <c r="G79" s="11"/>
      <c r="H79" s="9">
        <f t="shared" si="5"/>
        <v>0</v>
      </c>
      <c r="I79" s="9">
        <f t="shared" si="6"/>
        <v>0</v>
      </c>
      <c r="J79" s="3"/>
      <c r="K79" s="2" t="str">
        <f t="shared" si="7"/>
        <v>&lt;SteadyState Duration="0" Power="0.000"/&gt;</v>
      </c>
    </row>
    <row r="80" spans="5:11" x14ac:dyDescent="0.25">
      <c r="E80" s="9">
        <v>73</v>
      </c>
      <c r="F80" s="12"/>
      <c r="G80" s="11"/>
      <c r="H80" s="9">
        <f t="shared" si="5"/>
        <v>0</v>
      </c>
      <c r="I80" s="9">
        <f t="shared" si="6"/>
        <v>0</v>
      </c>
      <c r="J80" s="3"/>
      <c r="K80" s="2" t="str">
        <f t="shared" si="7"/>
        <v>&lt;SteadyState Duration="0" Power="0.000"/&gt;</v>
      </c>
    </row>
    <row r="81" spans="5:11" x14ac:dyDescent="0.25">
      <c r="E81" s="9">
        <v>74</v>
      </c>
      <c r="F81" s="12"/>
      <c r="G81" s="11"/>
      <c r="H81" s="9">
        <f t="shared" si="5"/>
        <v>0</v>
      </c>
      <c r="I81" s="9">
        <f t="shared" si="6"/>
        <v>0</v>
      </c>
      <c r="J81" s="3"/>
      <c r="K81" s="2" t="str">
        <f t="shared" ref="K81:K100" si="8">TEXT("&lt;SteadyState Duration=","")&amp;TEXT(CHAR(34),"")&amp;TEXT(I81,0)&amp;TEXT(CHAR(34),"")&amp;TEXT(CHAR(32),"")&amp;TEXT("Power=","")&amp;TEXT(CHAR(34),"")&amp;TEXT(H81,"0.000")&amp;TEXT(CHAR(34),"")&amp;TEXT("/&gt;","")</f>
        <v>&lt;SteadyState Duration="0" Power="0.000"/&gt;</v>
      </c>
    </row>
    <row r="82" spans="5:11" x14ac:dyDescent="0.25">
      <c r="E82" s="9">
        <v>75</v>
      </c>
      <c r="F82" s="12"/>
      <c r="G82" s="11"/>
      <c r="H82" s="9">
        <f t="shared" si="5"/>
        <v>0</v>
      </c>
      <c r="I82" s="9">
        <f t="shared" si="6"/>
        <v>0</v>
      </c>
      <c r="J82" s="3"/>
      <c r="K82" s="2" t="str">
        <f t="shared" si="8"/>
        <v>&lt;SteadyState Duration="0" Power="0.000"/&gt;</v>
      </c>
    </row>
    <row r="83" spans="5:11" x14ac:dyDescent="0.25">
      <c r="E83" s="9">
        <v>76</v>
      </c>
      <c r="F83" s="12"/>
      <c r="G83" s="11"/>
      <c r="H83" s="9">
        <f t="shared" si="5"/>
        <v>0</v>
      </c>
      <c r="I83" s="9">
        <f t="shared" si="6"/>
        <v>0</v>
      </c>
      <c r="J83" s="3"/>
      <c r="K83" s="2" t="str">
        <f t="shared" si="8"/>
        <v>&lt;SteadyState Duration="0" Power="0.000"/&gt;</v>
      </c>
    </row>
    <row r="84" spans="5:11" x14ac:dyDescent="0.25">
      <c r="E84" s="9">
        <v>77</v>
      </c>
      <c r="F84" s="12"/>
      <c r="G84" s="11"/>
      <c r="H84" s="9">
        <f t="shared" si="5"/>
        <v>0</v>
      </c>
      <c r="I84" s="9">
        <f t="shared" si="6"/>
        <v>0</v>
      </c>
      <c r="J84" s="3"/>
      <c r="K84" s="2" t="str">
        <f t="shared" si="8"/>
        <v>&lt;SteadyState Duration="0" Power="0.000"/&gt;</v>
      </c>
    </row>
    <row r="85" spans="5:11" x14ac:dyDescent="0.25">
      <c r="E85" s="9">
        <v>78</v>
      </c>
      <c r="F85" s="12"/>
      <c r="G85" s="11"/>
      <c r="H85" s="9">
        <f t="shared" si="5"/>
        <v>0</v>
      </c>
      <c r="I85" s="9">
        <f t="shared" si="6"/>
        <v>0</v>
      </c>
      <c r="J85" s="3"/>
      <c r="K85" s="2" t="str">
        <f t="shared" si="8"/>
        <v>&lt;SteadyState Duration="0" Power="0.000"/&gt;</v>
      </c>
    </row>
    <row r="86" spans="5:11" x14ac:dyDescent="0.25">
      <c r="E86" s="9">
        <v>79</v>
      </c>
      <c r="F86" s="12"/>
      <c r="G86" s="11"/>
      <c r="H86" s="9">
        <f t="shared" si="5"/>
        <v>0</v>
      </c>
      <c r="I86" s="9">
        <f t="shared" si="6"/>
        <v>0</v>
      </c>
      <c r="J86" s="3"/>
      <c r="K86" s="2" t="str">
        <f t="shared" si="8"/>
        <v>&lt;SteadyState Duration="0" Power="0.000"/&gt;</v>
      </c>
    </row>
    <row r="87" spans="5:11" x14ac:dyDescent="0.25">
      <c r="E87" s="9">
        <v>80</v>
      </c>
      <c r="F87" s="12"/>
      <c r="G87" s="11"/>
      <c r="H87" s="9">
        <f t="shared" si="5"/>
        <v>0</v>
      </c>
      <c r="I87" s="9">
        <f t="shared" si="6"/>
        <v>0</v>
      </c>
      <c r="J87" s="3"/>
      <c r="K87" s="2" t="str">
        <f t="shared" si="8"/>
        <v>&lt;SteadyState Duration="0" Power="0.000"/&gt;</v>
      </c>
    </row>
    <row r="88" spans="5:11" x14ac:dyDescent="0.25">
      <c r="E88" s="9">
        <v>81</v>
      </c>
      <c r="F88" s="12"/>
      <c r="G88" s="11"/>
      <c r="H88" s="9">
        <f t="shared" si="5"/>
        <v>0</v>
      </c>
      <c r="I88" s="9">
        <f t="shared" si="6"/>
        <v>0</v>
      </c>
      <c r="J88" s="3"/>
      <c r="K88" s="2" t="str">
        <f t="shared" si="8"/>
        <v>&lt;SteadyState Duration="0" Power="0.000"/&gt;</v>
      </c>
    </row>
    <row r="89" spans="5:11" x14ac:dyDescent="0.25">
      <c r="E89" s="9">
        <v>82</v>
      </c>
      <c r="F89" s="12"/>
      <c r="G89" s="11"/>
      <c r="H89" s="9">
        <f t="shared" si="5"/>
        <v>0</v>
      </c>
      <c r="I89" s="9">
        <f t="shared" si="6"/>
        <v>0</v>
      </c>
      <c r="J89" s="3"/>
      <c r="K89" s="2" t="str">
        <f t="shared" si="8"/>
        <v>&lt;SteadyState Duration="0" Power="0.000"/&gt;</v>
      </c>
    </row>
    <row r="90" spans="5:11" x14ac:dyDescent="0.25">
      <c r="E90" s="9">
        <v>83</v>
      </c>
      <c r="F90" s="12"/>
      <c r="G90" s="11"/>
      <c r="H90" s="9">
        <f t="shared" si="5"/>
        <v>0</v>
      </c>
      <c r="I90" s="9">
        <f t="shared" si="6"/>
        <v>0</v>
      </c>
      <c r="J90" s="3"/>
      <c r="K90" s="2" t="str">
        <f t="shared" si="8"/>
        <v>&lt;SteadyState Duration="0" Power="0.000"/&gt;</v>
      </c>
    </row>
    <row r="91" spans="5:11" x14ac:dyDescent="0.25">
      <c r="E91" s="9">
        <v>84</v>
      </c>
      <c r="F91" s="12"/>
      <c r="G91" s="11"/>
      <c r="H91" s="9">
        <f t="shared" si="5"/>
        <v>0</v>
      </c>
      <c r="I91" s="9">
        <f t="shared" si="6"/>
        <v>0</v>
      </c>
      <c r="J91" s="3"/>
      <c r="K91" s="2" t="str">
        <f t="shared" si="8"/>
        <v>&lt;SteadyState Duration="0" Power="0.000"/&gt;</v>
      </c>
    </row>
    <row r="92" spans="5:11" x14ac:dyDescent="0.25">
      <c r="E92" s="9">
        <v>85</v>
      </c>
      <c r="F92" s="12"/>
      <c r="G92" s="11"/>
      <c r="H92" s="9">
        <f t="shared" si="5"/>
        <v>0</v>
      </c>
      <c r="I92" s="9">
        <f t="shared" si="6"/>
        <v>0</v>
      </c>
      <c r="J92" s="3"/>
      <c r="K92" s="2" t="str">
        <f t="shared" si="8"/>
        <v>&lt;SteadyState Duration="0" Power="0.000"/&gt;</v>
      </c>
    </row>
    <row r="93" spans="5:11" x14ac:dyDescent="0.25">
      <c r="E93" s="9">
        <v>86</v>
      </c>
      <c r="F93" s="12"/>
      <c r="G93" s="11"/>
      <c r="H93" s="9">
        <f t="shared" si="5"/>
        <v>0</v>
      </c>
      <c r="I93" s="9">
        <f t="shared" si="6"/>
        <v>0</v>
      </c>
      <c r="J93" s="3"/>
      <c r="K93" s="2" t="str">
        <f t="shared" si="8"/>
        <v>&lt;SteadyState Duration="0" Power="0.000"/&gt;</v>
      </c>
    </row>
    <row r="94" spans="5:11" x14ac:dyDescent="0.25">
      <c r="E94" s="9">
        <v>87</v>
      </c>
      <c r="F94" s="12"/>
      <c r="G94" s="11"/>
      <c r="H94" s="9">
        <f t="shared" si="5"/>
        <v>0</v>
      </c>
      <c r="I94" s="9">
        <f t="shared" si="6"/>
        <v>0</v>
      </c>
      <c r="J94" s="3"/>
      <c r="K94" s="2" t="str">
        <f t="shared" si="8"/>
        <v>&lt;SteadyState Duration="0" Power="0.000"/&gt;</v>
      </c>
    </row>
    <row r="95" spans="5:11" x14ac:dyDescent="0.25">
      <c r="E95" s="9">
        <v>88</v>
      </c>
      <c r="F95" s="12"/>
      <c r="G95" s="11"/>
      <c r="H95" s="9">
        <f t="shared" si="5"/>
        <v>0</v>
      </c>
      <c r="I95" s="9">
        <f t="shared" si="6"/>
        <v>0</v>
      </c>
      <c r="J95" s="3"/>
      <c r="K95" s="2" t="str">
        <f t="shared" si="8"/>
        <v>&lt;SteadyState Duration="0" Power="0.000"/&gt;</v>
      </c>
    </row>
    <row r="96" spans="5:11" x14ac:dyDescent="0.25">
      <c r="E96" s="9">
        <v>89</v>
      </c>
      <c r="F96" s="12"/>
      <c r="G96" s="11"/>
      <c r="H96" s="9">
        <f t="shared" si="5"/>
        <v>0</v>
      </c>
      <c r="I96" s="9">
        <f t="shared" si="6"/>
        <v>0</v>
      </c>
      <c r="J96" s="3"/>
      <c r="K96" s="2" t="str">
        <f t="shared" si="8"/>
        <v>&lt;SteadyState Duration="0" Power="0.000"/&gt;</v>
      </c>
    </row>
    <row r="97" spans="5:11" x14ac:dyDescent="0.25">
      <c r="E97" s="9">
        <v>90</v>
      </c>
      <c r="F97" s="12"/>
      <c r="G97" s="11"/>
      <c r="H97" s="9">
        <f t="shared" ref="H97:H100" si="9">G97/100</f>
        <v>0</v>
      </c>
      <c r="I97" s="9">
        <f t="shared" ref="I97:I100" si="10">F97*60</f>
        <v>0</v>
      </c>
      <c r="J97" s="3"/>
      <c r="K97" s="2" t="str">
        <f t="shared" si="8"/>
        <v>&lt;SteadyState Duration="0" Power="0.000"/&gt;</v>
      </c>
    </row>
    <row r="98" spans="5:11" x14ac:dyDescent="0.25">
      <c r="E98" s="9">
        <v>91</v>
      </c>
      <c r="F98" s="12"/>
      <c r="G98" s="11"/>
      <c r="H98" s="9">
        <f t="shared" si="9"/>
        <v>0</v>
      </c>
      <c r="I98" s="9">
        <f t="shared" si="10"/>
        <v>0</v>
      </c>
      <c r="J98" s="3"/>
      <c r="K98" s="2" t="str">
        <f t="shared" si="8"/>
        <v>&lt;SteadyState Duration="0" Power="0.000"/&gt;</v>
      </c>
    </row>
    <row r="99" spans="5:11" x14ac:dyDescent="0.25">
      <c r="E99" s="9">
        <v>92</v>
      </c>
      <c r="F99" s="12"/>
      <c r="G99" s="11"/>
      <c r="H99" s="9">
        <f t="shared" si="9"/>
        <v>0</v>
      </c>
      <c r="I99" s="9">
        <f t="shared" si="10"/>
        <v>0</v>
      </c>
      <c r="J99" s="3"/>
      <c r="K99" s="2" t="str">
        <f t="shared" si="8"/>
        <v>&lt;SteadyState Duration="0" Power="0.000"/&gt;</v>
      </c>
    </row>
    <row r="100" spans="5:11" x14ac:dyDescent="0.25">
      <c r="E100" s="9">
        <v>93</v>
      </c>
      <c r="F100" s="12"/>
      <c r="G100" s="11"/>
      <c r="H100" s="9">
        <f t="shared" si="9"/>
        <v>0</v>
      </c>
      <c r="I100" s="9">
        <f t="shared" si="10"/>
        <v>0</v>
      </c>
      <c r="J100" s="3"/>
      <c r="K100" s="2" t="str">
        <f t="shared" si="8"/>
        <v>&lt;SteadyState Duration="0" Power="0.000"/&gt;</v>
      </c>
    </row>
    <row r="101" spans="5:11" x14ac:dyDescent="0.25">
      <c r="E101" s="9">
        <v>94</v>
      </c>
      <c r="F101" s="12"/>
      <c r="G101" s="11"/>
      <c r="H101" s="9">
        <f t="shared" ref="H101" si="11">G101/100</f>
        <v>0</v>
      </c>
      <c r="I101" s="9">
        <f t="shared" ref="I101" si="12">F101*60</f>
        <v>0</v>
      </c>
      <c r="J101" s="3"/>
      <c r="K101" s="2" t="str">
        <f t="shared" ref="K101:K107" si="13">TEXT("&lt;SteadyState Duration=","")&amp;TEXT(CHAR(34),"")&amp;TEXT(I101,0)&amp;TEXT(CHAR(34),"")&amp;TEXT(CHAR(32),"")&amp;TEXT("Power=","")&amp;TEXT(CHAR(34),"")&amp;TEXT(H101,"0.000")&amp;TEXT(CHAR(34),"")&amp;TEXT("/&gt;","")</f>
        <v>&lt;SteadyState Duration="0" Power="0.000"/&gt;</v>
      </c>
    </row>
    <row r="102" spans="5:11" x14ac:dyDescent="0.25">
      <c r="E102" s="9">
        <v>95</v>
      </c>
      <c r="F102" s="12"/>
      <c r="G102" s="11"/>
      <c r="H102" s="9">
        <f t="shared" ref="H102:H107" si="14">G102/100</f>
        <v>0</v>
      </c>
      <c r="I102" s="9">
        <f t="shared" ref="I102:I107" si="15">F102*60</f>
        <v>0</v>
      </c>
      <c r="J102" s="3"/>
      <c r="K102" s="2" t="str">
        <f t="shared" si="13"/>
        <v>&lt;SteadyState Duration="0" Power="0.000"/&gt;</v>
      </c>
    </row>
    <row r="103" spans="5:11" x14ac:dyDescent="0.25">
      <c r="E103" s="9">
        <v>96</v>
      </c>
      <c r="F103" s="12"/>
      <c r="G103" s="11"/>
      <c r="H103" s="9">
        <f t="shared" si="14"/>
        <v>0</v>
      </c>
      <c r="I103" s="9">
        <f t="shared" si="15"/>
        <v>0</v>
      </c>
      <c r="J103" s="3"/>
      <c r="K103" s="2" t="str">
        <f t="shared" si="13"/>
        <v>&lt;SteadyState Duration="0" Power="0.000"/&gt;</v>
      </c>
    </row>
    <row r="104" spans="5:11" x14ac:dyDescent="0.25">
      <c r="E104" s="9">
        <v>97</v>
      </c>
      <c r="F104" s="12"/>
      <c r="G104" s="11"/>
      <c r="H104" s="9">
        <f t="shared" si="14"/>
        <v>0</v>
      </c>
      <c r="I104" s="9">
        <f t="shared" si="15"/>
        <v>0</v>
      </c>
      <c r="J104" s="3"/>
      <c r="K104" s="2" t="str">
        <f t="shared" si="13"/>
        <v>&lt;SteadyState Duration="0" Power="0.000"/&gt;</v>
      </c>
    </row>
    <row r="105" spans="5:11" x14ac:dyDescent="0.25">
      <c r="E105" s="9">
        <v>98</v>
      </c>
      <c r="F105" s="12"/>
      <c r="G105" s="11"/>
      <c r="H105" s="9">
        <f t="shared" si="14"/>
        <v>0</v>
      </c>
      <c r="I105" s="9">
        <f t="shared" si="15"/>
        <v>0</v>
      </c>
      <c r="J105" s="3"/>
      <c r="K105" s="2" t="str">
        <f t="shared" si="13"/>
        <v>&lt;SteadyState Duration="0" Power="0.000"/&gt;</v>
      </c>
    </row>
    <row r="106" spans="5:11" x14ac:dyDescent="0.25">
      <c r="E106" s="9">
        <v>99</v>
      </c>
      <c r="F106" s="12"/>
      <c r="G106" s="11"/>
      <c r="H106" s="9">
        <f t="shared" si="14"/>
        <v>0</v>
      </c>
      <c r="I106" s="9">
        <f t="shared" si="15"/>
        <v>0</v>
      </c>
      <c r="J106" s="3"/>
      <c r="K106" s="2" t="str">
        <f t="shared" si="13"/>
        <v>&lt;SteadyState Duration="0" Power="0.000"/&gt;</v>
      </c>
    </row>
    <row r="107" spans="5:11" x14ac:dyDescent="0.25">
      <c r="E107" s="9">
        <v>100</v>
      </c>
      <c r="F107" s="12"/>
      <c r="G107" s="11"/>
      <c r="H107" s="9">
        <f t="shared" si="14"/>
        <v>0</v>
      </c>
      <c r="I107" s="9">
        <f t="shared" si="15"/>
        <v>0</v>
      </c>
      <c r="J107" s="3"/>
      <c r="K107" s="2" t="str">
        <f t="shared" si="13"/>
        <v>&lt;SteadyState Duration="0" Power="0.000"/&gt;</v>
      </c>
    </row>
    <row r="108" spans="5:11" x14ac:dyDescent="0.25"/>
    <row r="109" spans="5:11" x14ac:dyDescent="0.25"/>
    <row r="110" spans="5:11" x14ac:dyDescent="0.25"/>
  </sheetData>
  <conditionalFormatting sqref="G8:G14 G53:G107">
    <cfRule type="colorScale" priority="194">
      <colorScale>
        <cfvo type="num" val="0"/>
        <cfvo type="num" val="65"/>
        <cfvo type="num" val="100"/>
        <color rgb="FF92D050"/>
        <color rgb="FFFFEB84"/>
        <color rgb="FFFF0000"/>
      </colorScale>
    </cfRule>
  </conditionalFormatting>
  <conditionalFormatting sqref="G44:G52">
    <cfRule type="colorScale" priority="140">
      <colorScale>
        <cfvo type="num" val="0"/>
        <cfvo type="num" val="65"/>
        <cfvo type="num" val="100"/>
        <color rgb="FF92D050"/>
        <color rgb="FFFFEB84"/>
        <color rgb="FFFF0000"/>
      </colorScale>
    </cfRule>
  </conditionalFormatting>
  <conditionalFormatting sqref="G39:G43">
    <cfRule type="colorScale" priority="116">
      <colorScale>
        <cfvo type="num" val="0"/>
        <cfvo type="num" val="65"/>
        <cfvo type="num" val="100"/>
        <color rgb="FF92D050"/>
        <color rgb="FFFFEB84"/>
        <color rgb="FFFF0000"/>
      </colorScale>
    </cfRule>
  </conditionalFormatting>
  <conditionalFormatting sqref="G38">
    <cfRule type="colorScale" priority="105">
      <colorScale>
        <cfvo type="num" val="0"/>
        <cfvo type="num" val="65"/>
        <cfvo type="num" val="100"/>
        <color rgb="FF92D050"/>
        <color rgb="FFFFEB84"/>
        <color rgb="FFFF0000"/>
      </colorScale>
    </cfRule>
  </conditionalFormatting>
  <conditionalFormatting sqref="G37">
    <cfRule type="colorScale" priority="27">
      <colorScale>
        <cfvo type="num" val="0"/>
        <cfvo type="num" val="65"/>
        <cfvo type="num" val="100"/>
        <color rgb="FF92D050"/>
        <color rgb="FFFFEB84"/>
        <color rgb="FFFF0000"/>
      </colorScale>
    </cfRule>
  </conditionalFormatting>
  <conditionalFormatting sqref="G36">
    <cfRule type="colorScale" priority="18">
      <colorScale>
        <cfvo type="num" val="0"/>
        <cfvo type="num" val="65"/>
        <cfvo type="num" val="100"/>
        <color rgb="FF92D050"/>
        <color rgb="FFFFEB84"/>
        <color rgb="FFFF0000"/>
      </colorScale>
    </cfRule>
  </conditionalFormatting>
  <conditionalFormatting sqref="G32:G35">
    <cfRule type="colorScale" priority="13">
      <colorScale>
        <cfvo type="num" val="0"/>
        <cfvo type="num" val="65"/>
        <cfvo type="num" val="100"/>
        <color rgb="FF92D050"/>
        <color rgb="FFFFEB84"/>
        <color rgb="FFFF0000"/>
      </colorScale>
    </cfRule>
  </conditionalFormatting>
  <conditionalFormatting sqref="G15">
    <cfRule type="colorScale" priority="11">
      <colorScale>
        <cfvo type="num" val="0"/>
        <cfvo type="num" val="65"/>
        <cfvo type="num" val="100"/>
        <color rgb="FF92D050"/>
        <color rgb="FFFFEB84"/>
        <color rgb="FFFF0000"/>
      </colorScale>
    </cfRule>
  </conditionalFormatting>
  <conditionalFormatting sqref="G16:G18">
    <cfRule type="colorScale" priority="8">
      <colorScale>
        <cfvo type="num" val="0"/>
        <cfvo type="num" val="65"/>
        <cfvo type="num" val="100"/>
        <color rgb="FF92D050"/>
        <color rgb="FFFFEB84"/>
        <color rgb="FFFF0000"/>
      </colorScale>
    </cfRule>
  </conditionalFormatting>
  <conditionalFormatting sqref="G19">
    <cfRule type="colorScale" priority="7">
      <colorScale>
        <cfvo type="num" val="0"/>
        <cfvo type="num" val="65"/>
        <cfvo type="num" val="100"/>
        <color rgb="FF92D050"/>
        <color rgb="FFFFEB84"/>
        <color rgb="FFFF0000"/>
      </colorScale>
    </cfRule>
  </conditionalFormatting>
  <conditionalFormatting sqref="G20:G22">
    <cfRule type="colorScale" priority="6">
      <colorScale>
        <cfvo type="num" val="0"/>
        <cfvo type="num" val="65"/>
        <cfvo type="num" val="100"/>
        <color rgb="FF92D050"/>
        <color rgb="FFFFEB84"/>
        <color rgb="FFFF0000"/>
      </colorScale>
    </cfRule>
  </conditionalFormatting>
  <conditionalFormatting sqref="G23">
    <cfRule type="colorScale" priority="5">
      <colorScale>
        <cfvo type="num" val="0"/>
        <cfvo type="num" val="65"/>
        <cfvo type="num" val="100"/>
        <color rgb="FF92D050"/>
        <color rgb="FFFFEB84"/>
        <color rgb="FFFF0000"/>
      </colorScale>
    </cfRule>
  </conditionalFormatting>
  <conditionalFormatting sqref="G24:G26">
    <cfRule type="colorScale" priority="4">
      <colorScale>
        <cfvo type="num" val="0"/>
        <cfvo type="num" val="65"/>
        <cfvo type="num" val="100"/>
        <color rgb="FF92D050"/>
        <color rgb="FFFFEB84"/>
        <color rgb="FFFF0000"/>
      </colorScale>
    </cfRule>
  </conditionalFormatting>
  <conditionalFormatting sqref="G27">
    <cfRule type="colorScale" priority="3">
      <colorScale>
        <cfvo type="num" val="0"/>
        <cfvo type="num" val="65"/>
        <cfvo type="num" val="100"/>
        <color rgb="FF92D050"/>
        <color rgb="FFFFEB84"/>
        <color rgb="FFFF0000"/>
      </colorScale>
    </cfRule>
  </conditionalFormatting>
  <conditionalFormatting sqref="G28:G30">
    <cfRule type="colorScale" priority="2">
      <colorScale>
        <cfvo type="num" val="0"/>
        <cfvo type="num" val="65"/>
        <cfvo type="num" val="100"/>
        <color rgb="FF92D050"/>
        <color rgb="FFFFEB84"/>
        <color rgb="FFFF0000"/>
      </colorScale>
    </cfRule>
  </conditionalFormatting>
  <conditionalFormatting sqref="G31">
    <cfRule type="colorScale" priority="1">
      <colorScale>
        <cfvo type="num" val="0"/>
        <cfvo type="num" val="65"/>
        <cfvo type="num" val="100"/>
        <color rgb="FF92D050"/>
        <color rgb="FFFFEB84"/>
        <color rgb="FFFF0000"/>
      </colorScale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ZWO">
                <anchor moveWithCells="1" sizeWithCells="1">
                  <from>
                    <xdr:col>6</xdr:col>
                    <xdr:colOff>361950</xdr:colOff>
                    <xdr:row>0</xdr:row>
                    <xdr:rowOff>104775</xdr:rowOff>
                  </from>
                  <to>
                    <xdr:col>9</xdr:col>
                    <xdr:colOff>1238250</xdr:colOff>
                    <xdr:row>3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098577-D0F9-437A-9F0C-DBC73051A748}">
  <sheetPr codeName="Sheet2"/>
  <dimension ref="B2:L46"/>
  <sheetViews>
    <sheetView workbookViewId="0">
      <selection activeCell="K3" sqref="K3"/>
    </sheetView>
  </sheetViews>
  <sheetFormatPr defaultRowHeight="15" x14ac:dyDescent="0.25"/>
  <cols>
    <col min="3" max="3" width="12.28515625" customWidth="1"/>
    <col min="11" max="11" width="11.5703125" bestFit="1" customWidth="1"/>
  </cols>
  <sheetData>
    <row r="2" spans="2:12" ht="27" thickBot="1" x14ac:dyDescent="0.3">
      <c r="B2" s="25" t="s">
        <v>202</v>
      </c>
      <c r="C2" s="25" t="s">
        <v>203</v>
      </c>
      <c r="D2" s="25" t="s">
        <v>204</v>
      </c>
      <c r="E2" s="25" t="s">
        <v>205</v>
      </c>
      <c r="F2" s="25" t="s">
        <v>206</v>
      </c>
      <c r="G2" s="25" t="s">
        <v>207</v>
      </c>
      <c r="H2" s="25" t="s">
        <v>208</v>
      </c>
      <c r="I2" s="26" t="s">
        <v>209</v>
      </c>
    </row>
    <row r="3" spans="2:12" ht="27" thickTop="1" thickBot="1" x14ac:dyDescent="0.3">
      <c r="B3" s="14" t="s">
        <v>13</v>
      </c>
      <c r="C3" s="30">
        <v>3.8194444444444443E-3</v>
      </c>
      <c r="D3" s="16">
        <v>3.8194444444444443E-3</v>
      </c>
      <c r="E3" s="17" t="s">
        <v>14</v>
      </c>
      <c r="F3" s="14" t="s">
        <v>14</v>
      </c>
      <c r="G3" s="18">
        <v>0</v>
      </c>
      <c r="H3" s="14" t="s">
        <v>15</v>
      </c>
      <c r="I3" s="17" t="s">
        <v>16</v>
      </c>
      <c r="K3" s="28" t="str">
        <f>MID(C3,4,3)</f>
        <v>038</v>
      </c>
    </row>
    <row r="4" spans="2:12" ht="26.25" thickBot="1" x14ac:dyDescent="0.3">
      <c r="B4" s="14" t="s">
        <v>17</v>
      </c>
      <c r="C4" s="19">
        <v>2.5810185185185185E-3</v>
      </c>
      <c r="D4" s="16">
        <v>6.4120370370370364E-3</v>
      </c>
      <c r="E4" s="20" t="s">
        <v>18</v>
      </c>
      <c r="F4" s="14" t="s">
        <v>19</v>
      </c>
      <c r="G4" s="21">
        <v>0</v>
      </c>
      <c r="H4" s="14" t="s">
        <v>20</v>
      </c>
      <c r="I4" s="20" t="s">
        <v>21</v>
      </c>
      <c r="K4" s="27">
        <f>D4-C4</f>
        <v>3.8310185185185179E-3</v>
      </c>
      <c r="L4" s="27"/>
    </row>
    <row r="5" spans="2:12" ht="26.25" thickBot="1" x14ac:dyDescent="0.3">
      <c r="B5" s="14" t="s">
        <v>22</v>
      </c>
      <c r="C5" s="15">
        <v>1.6203703703703703E-3</v>
      </c>
      <c r="D5" s="16">
        <v>8.0439814814814818E-3</v>
      </c>
      <c r="E5" s="17" t="s">
        <v>23</v>
      </c>
      <c r="F5" s="14" t="s">
        <v>24</v>
      </c>
      <c r="G5" s="18">
        <v>2.9999999999999997E-4</v>
      </c>
      <c r="H5" s="14" t="s">
        <v>25</v>
      </c>
      <c r="I5" s="17" t="s">
        <v>26</v>
      </c>
    </row>
    <row r="6" spans="2:12" ht="26.25" thickBot="1" x14ac:dyDescent="0.3">
      <c r="B6" s="14" t="s">
        <v>27</v>
      </c>
      <c r="C6" s="19">
        <v>3.5879629629629635E-4</v>
      </c>
      <c r="D6" s="16">
        <v>8.4027777777777781E-3</v>
      </c>
      <c r="E6" s="20" t="s">
        <v>28</v>
      </c>
      <c r="F6" s="14" t="s">
        <v>29</v>
      </c>
      <c r="G6" s="21">
        <v>-6.9999999999999999E-4</v>
      </c>
      <c r="H6" s="14" t="s">
        <v>30</v>
      </c>
      <c r="I6" s="20" t="s">
        <v>31</v>
      </c>
    </row>
    <row r="7" spans="2:12" ht="26.25" thickBot="1" x14ac:dyDescent="0.3">
      <c r="B7" s="14" t="s">
        <v>32</v>
      </c>
      <c r="C7" s="15">
        <v>8.9120370370370362E-4</v>
      </c>
      <c r="D7" s="16">
        <v>9.2939814814814812E-3</v>
      </c>
      <c r="E7" s="17" t="s">
        <v>33</v>
      </c>
      <c r="F7" s="14" t="s">
        <v>34</v>
      </c>
      <c r="G7" s="18">
        <v>1.5E-3</v>
      </c>
      <c r="H7" s="14" t="s">
        <v>35</v>
      </c>
      <c r="I7" s="17" t="s">
        <v>36</v>
      </c>
    </row>
    <row r="8" spans="2:12" ht="26.25" thickBot="1" x14ac:dyDescent="0.3">
      <c r="B8" s="14" t="s">
        <v>37</v>
      </c>
      <c r="C8" s="19">
        <v>2.199074074074074E-4</v>
      </c>
      <c r="D8" s="16">
        <v>9.525462962962963E-3</v>
      </c>
      <c r="E8" s="20" t="s">
        <v>38</v>
      </c>
      <c r="F8" s="14" t="s">
        <v>39</v>
      </c>
      <c r="G8" s="21">
        <v>1.5E-3</v>
      </c>
      <c r="H8" s="14" t="s">
        <v>40</v>
      </c>
      <c r="I8" s="20" t="s">
        <v>41</v>
      </c>
    </row>
    <row r="9" spans="2:12" ht="26.25" thickBot="1" x14ac:dyDescent="0.3">
      <c r="B9" s="14" t="s">
        <v>42</v>
      </c>
      <c r="C9" s="15">
        <v>1.6550925925925926E-3</v>
      </c>
      <c r="D9" s="16">
        <v>1.119212962962963E-2</v>
      </c>
      <c r="E9" s="17" t="s">
        <v>43</v>
      </c>
      <c r="F9" s="14" t="s">
        <v>44</v>
      </c>
      <c r="G9" s="18">
        <v>-1E-3</v>
      </c>
      <c r="H9" s="14" t="s">
        <v>45</v>
      </c>
      <c r="I9" s="17" t="s">
        <v>46</v>
      </c>
    </row>
    <row r="10" spans="2:12" ht="26.25" thickBot="1" x14ac:dyDescent="0.3">
      <c r="B10" s="14" t="s">
        <v>47</v>
      </c>
      <c r="C10" s="19">
        <v>4.5486111111111109E-3</v>
      </c>
      <c r="D10" s="16">
        <v>1.5740740740740743E-2</v>
      </c>
      <c r="E10" s="20" t="s">
        <v>48</v>
      </c>
      <c r="F10" s="14" t="s">
        <v>49</v>
      </c>
      <c r="G10" s="21">
        <v>2.0000000000000001E-4</v>
      </c>
      <c r="H10" s="14" t="s">
        <v>50</v>
      </c>
      <c r="I10" s="20" t="s">
        <v>36</v>
      </c>
    </row>
    <row r="11" spans="2:12" ht="26.25" thickBot="1" x14ac:dyDescent="0.3">
      <c r="B11" s="14" t="s">
        <v>51</v>
      </c>
      <c r="C11" s="15">
        <v>3.3564814814814812E-4</v>
      </c>
      <c r="D11" s="16">
        <v>1.6076388888888887E-2</v>
      </c>
      <c r="E11" s="17" t="s">
        <v>52</v>
      </c>
      <c r="F11" s="14" t="s">
        <v>53</v>
      </c>
      <c r="G11" s="18">
        <v>2.0999999999999999E-3</v>
      </c>
      <c r="H11" s="14" t="s">
        <v>54</v>
      </c>
      <c r="I11" s="17" t="s">
        <v>55</v>
      </c>
    </row>
    <row r="12" spans="2:12" ht="26.25" thickBot="1" x14ac:dyDescent="0.3">
      <c r="B12" s="14" t="s">
        <v>56</v>
      </c>
      <c r="C12" s="19">
        <v>1.0069444444444444E-3</v>
      </c>
      <c r="D12" s="16">
        <v>1.7094907407407409E-2</v>
      </c>
      <c r="E12" s="20" t="s">
        <v>57</v>
      </c>
      <c r="F12" s="14" t="s">
        <v>58</v>
      </c>
      <c r="G12" s="21">
        <v>-1.6999999999999999E-3</v>
      </c>
      <c r="H12" s="14" t="s">
        <v>59</v>
      </c>
      <c r="I12" s="20" t="s">
        <v>31</v>
      </c>
    </row>
    <row r="13" spans="2:12" ht="26.25" thickBot="1" x14ac:dyDescent="0.3">
      <c r="B13" s="14" t="s">
        <v>60</v>
      </c>
      <c r="C13" s="15">
        <v>1.1574074074074073E-4</v>
      </c>
      <c r="D13" s="16">
        <v>1.7222222222222222E-2</v>
      </c>
      <c r="E13" s="17" t="s">
        <v>61</v>
      </c>
      <c r="F13" s="14" t="s">
        <v>62</v>
      </c>
      <c r="G13" s="18">
        <v>-8.9999999999999998E-4</v>
      </c>
      <c r="H13" s="14" t="s">
        <v>63</v>
      </c>
      <c r="I13" s="17" t="s">
        <v>64</v>
      </c>
    </row>
    <row r="14" spans="2:12" ht="26.25" thickBot="1" x14ac:dyDescent="0.3">
      <c r="B14" s="14" t="s">
        <v>65</v>
      </c>
      <c r="C14" s="19">
        <v>6.134259259259259E-4</v>
      </c>
      <c r="D14" s="16">
        <v>1.7847222222222223E-2</v>
      </c>
      <c r="E14" s="20" t="s">
        <v>66</v>
      </c>
      <c r="F14" s="14" t="s">
        <v>67</v>
      </c>
      <c r="G14" s="21">
        <v>0</v>
      </c>
      <c r="H14" s="14" t="s">
        <v>68</v>
      </c>
      <c r="I14" s="20" t="s">
        <v>69</v>
      </c>
    </row>
    <row r="15" spans="2:12" ht="26.25" thickBot="1" x14ac:dyDescent="0.3">
      <c r="B15" s="14" t="s">
        <v>70</v>
      </c>
      <c r="C15" s="15">
        <v>1.0347222222222223E-2</v>
      </c>
      <c r="D15" s="16">
        <v>2.8194444444444442E-2</v>
      </c>
      <c r="E15" s="17" t="s">
        <v>71</v>
      </c>
      <c r="F15" s="14" t="s">
        <v>72</v>
      </c>
      <c r="G15" s="18">
        <v>2.0000000000000001E-4</v>
      </c>
      <c r="H15" s="14" t="s">
        <v>73</v>
      </c>
      <c r="I15" s="17" t="s">
        <v>36</v>
      </c>
    </row>
    <row r="16" spans="2:12" ht="26.25" thickBot="1" x14ac:dyDescent="0.3">
      <c r="B16" s="14" t="s">
        <v>74</v>
      </c>
      <c r="C16" s="19">
        <v>4.108796296296297E-3</v>
      </c>
      <c r="D16" s="16">
        <v>3.2303240740740737E-2</v>
      </c>
      <c r="E16" s="20" t="s">
        <v>75</v>
      </c>
      <c r="F16" s="14" t="s">
        <v>76</v>
      </c>
      <c r="G16" s="21">
        <v>0</v>
      </c>
      <c r="H16" s="14" t="s">
        <v>30</v>
      </c>
      <c r="I16" s="20" t="s">
        <v>77</v>
      </c>
    </row>
    <row r="17" spans="2:9" ht="26.25" thickBot="1" x14ac:dyDescent="0.3">
      <c r="B17" s="14" t="s">
        <v>78</v>
      </c>
      <c r="C17" s="15">
        <v>2.8935185185185189E-4</v>
      </c>
      <c r="D17" s="16">
        <v>3.259259259259259E-2</v>
      </c>
      <c r="E17" s="17" t="s">
        <v>79</v>
      </c>
      <c r="F17" s="14" t="s">
        <v>80</v>
      </c>
      <c r="G17" s="18">
        <v>-5.1999999999999998E-3</v>
      </c>
      <c r="H17" s="14" t="s">
        <v>81</v>
      </c>
      <c r="I17" s="17" t="s">
        <v>82</v>
      </c>
    </row>
    <row r="18" spans="2:9" ht="26.25" thickBot="1" x14ac:dyDescent="0.3">
      <c r="B18" s="14" t="s">
        <v>83</v>
      </c>
      <c r="C18" s="19">
        <v>3.2407407407407406E-4</v>
      </c>
      <c r="D18" s="16">
        <v>3.2916666666666664E-2</v>
      </c>
      <c r="E18" s="20" t="s">
        <v>84</v>
      </c>
      <c r="F18" s="14" t="s">
        <v>85</v>
      </c>
      <c r="G18" s="21">
        <v>-4.0000000000000002E-4</v>
      </c>
      <c r="H18" s="14" t="s">
        <v>86</v>
      </c>
      <c r="I18" s="20" t="s">
        <v>41</v>
      </c>
    </row>
    <row r="19" spans="2:9" ht="26.25" thickBot="1" x14ac:dyDescent="0.3">
      <c r="B19" s="14" t="s">
        <v>87</v>
      </c>
      <c r="C19" s="15">
        <v>2.199074074074074E-4</v>
      </c>
      <c r="D19" s="16">
        <v>3.3148148148148149E-2</v>
      </c>
      <c r="E19" s="17" t="s">
        <v>88</v>
      </c>
      <c r="F19" s="14" t="s">
        <v>89</v>
      </c>
      <c r="G19" s="18">
        <v>3.8E-3</v>
      </c>
      <c r="H19" s="14" t="s">
        <v>90</v>
      </c>
      <c r="I19" s="17" t="s">
        <v>16</v>
      </c>
    </row>
    <row r="20" spans="2:9" ht="26.25" thickBot="1" x14ac:dyDescent="0.3">
      <c r="B20" s="14" t="s">
        <v>91</v>
      </c>
      <c r="C20" s="19">
        <v>9.8379629629629642E-4</v>
      </c>
      <c r="D20" s="16">
        <v>3.4143518518518517E-2</v>
      </c>
      <c r="E20" s="20" t="s">
        <v>92</v>
      </c>
      <c r="F20" s="14" t="s">
        <v>93</v>
      </c>
      <c r="G20" s="21">
        <v>8.9999999999999998E-4</v>
      </c>
      <c r="H20" s="14" t="s">
        <v>94</v>
      </c>
      <c r="I20" s="20" t="s">
        <v>95</v>
      </c>
    </row>
    <row r="21" spans="2:9" ht="26.25" thickBot="1" x14ac:dyDescent="0.3">
      <c r="B21" s="14" t="s">
        <v>96</v>
      </c>
      <c r="C21" s="15">
        <v>3.9351851851851852E-4</v>
      </c>
      <c r="D21" s="16">
        <v>3.453703703703704E-2</v>
      </c>
      <c r="E21" s="17" t="s">
        <v>97</v>
      </c>
      <c r="F21" s="14" t="s">
        <v>98</v>
      </c>
      <c r="G21" s="18">
        <v>-4.1000000000000003E-3</v>
      </c>
      <c r="H21" s="14" t="s">
        <v>99</v>
      </c>
      <c r="I21" s="17" t="s">
        <v>100</v>
      </c>
    </row>
    <row r="22" spans="2:9" ht="26.25" thickBot="1" x14ac:dyDescent="0.3">
      <c r="B22" s="14" t="s">
        <v>101</v>
      </c>
      <c r="C22" s="19">
        <v>4.8148148148148152E-3</v>
      </c>
      <c r="D22" s="16">
        <v>3.936342592592592E-2</v>
      </c>
      <c r="E22" s="20" t="s">
        <v>102</v>
      </c>
      <c r="F22" s="14" t="s">
        <v>103</v>
      </c>
      <c r="G22" s="21">
        <v>0</v>
      </c>
      <c r="H22" s="14" t="s">
        <v>104</v>
      </c>
      <c r="I22" s="20" t="s">
        <v>77</v>
      </c>
    </row>
    <row r="23" spans="2:9" ht="26.25" thickBot="1" x14ac:dyDescent="0.3">
      <c r="B23" s="14" t="s">
        <v>105</v>
      </c>
      <c r="C23" s="15">
        <v>7.8703703703703705E-4</v>
      </c>
      <c r="D23" s="16">
        <v>4.0162037037037038E-2</v>
      </c>
      <c r="E23" s="17" t="s">
        <v>106</v>
      </c>
      <c r="F23" s="14" t="s">
        <v>107</v>
      </c>
      <c r="G23" s="18">
        <v>0</v>
      </c>
      <c r="H23" s="14" t="s">
        <v>108</v>
      </c>
      <c r="I23" s="17" t="s">
        <v>55</v>
      </c>
    </row>
    <row r="24" spans="2:9" ht="26.25" thickBot="1" x14ac:dyDescent="0.3">
      <c r="B24" s="14" t="s">
        <v>109</v>
      </c>
      <c r="C24" s="19">
        <v>6.7129629629629625E-4</v>
      </c>
      <c r="D24" s="16">
        <v>4.0833333333333333E-2</v>
      </c>
      <c r="E24" s="20" t="s">
        <v>110</v>
      </c>
      <c r="F24" s="14" t="s">
        <v>111</v>
      </c>
      <c r="G24" s="21">
        <v>2.3E-3</v>
      </c>
      <c r="H24" s="14" t="s">
        <v>112</v>
      </c>
      <c r="I24" s="20" t="s">
        <v>16</v>
      </c>
    </row>
    <row r="25" spans="2:9" ht="26.25" thickBot="1" x14ac:dyDescent="0.3">
      <c r="B25" s="14" t="s">
        <v>113</v>
      </c>
      <c r="C25" s="15">
        <v>2.7777777777777778E-4</v>
      </c>
      <c r="D25" s="16">
        <v>4.1111111111111112E-2</v>
      </c>
      <c r="E25" s="17" t="s">
        <v>114</v>
      </c>
      <c r="F25" s="14" t="s">
        <v>115</v>
      </c>
      <c r="G25" s="18">
        <v>-4.5999999999999999E-3</v>
      </c>
      <c r="H25" s="14" t="s">
        <v>116</v>
      </c>
      <c r="I25" s="17" t="s">
        <v>21</v>
      </c>
    </row>
    <row r="26" spans="2:9" ht="26.25" thickBot="1" x14ac:dyDescent="0.3">
      <c r="B26" s="14" t="s">
        <v>117</v>
      </c>
      <c r="C26" s="19">
        <v>7.905092592592592E-3</v>
      </c>
      <c r="D26" s="16">
        <v>4.9016203703703708E-2</v>
      </c>
      <c r="E26" s="20" t="s">
        <v>118</v>
      </c>
      <c r="F26" s="14" t="s">
        <v>119</v>
      </c>
      <c r="G26" s="21">
        <v>0</v>
      </c>
      <c r="H26" s="14" t="s">
        <v>120</v>
      </c>
      <c r="I26" s="20" t="s">
        <v>121</v>
      </c>
    </row>
    <row r="27" spans="2:9" ht="26.25" thickBot="1" x14ac:dyDescent="0.3">
      <c r="B27" s="14" t="s">
        <v>122</v>
      </c>
      <c r="C27" s="15">
        <v>6.4930555555555549E-3</v>
      </c>
      <c r="D27" s="16">
        <v>5.5520833333333332E-2</v>
      </c>
      <c r="E27" s="17" t="s">
        <v>123</v>
      </c>
      <c r="F27" s="14" t="s">
        <v>124</v>
      </c>
      <c r="G27" s="18">
        <v>0</v>
      </c>
      <c r="H27" s="14" t="s">
        <v>125</v>
      </c>
      <c r="I27" s="17" t="s">
        <v>41</v>
      </c>
    </row>
    <row r="28" spans="2:9" ht="26.25" thickBot="1" x14ac:dyDescent="0.3">
      <c r="B28" s="14" t="s">
        <v>126</v>
      </c>
      <c r="C28" s="19">
        <v>6.9560185185185185E-3</v>
      </c>
      <c r="D28" s="16">
        <v>6.2476851851851846E-2</v>
      </c>
      <c r="E28" s="20" t="s">
        <v>127</v>
      </c>
      <c r="F28" s="14" t="s">
        <v>128</v>
      </c>
      <c r="G28" s="21">
        <v>0</v>
      </c>
      <c r="H28" s="14" t="s">
        <v>129</v>
      </c>
      <c r="I28" s="20" t="s">
        <v>121</v>
      </c>
    </row>
    <row r="29" spans="2:9" ht="26.25" thickBot="1" x14ac:dyDescent="0.3">
      <c r="B29" s="14" t="s">
        <v>130</v>
      </c>
      <c r="C29" s="15">
        <v>7.6851851851851847E-3</v>
      </c>
      <c r="D29" s="16">
        <v>7.0173611111111103E-2</v>
      </c>
      <c r="E29" s="17" t="s">
        <v>131</v>
      </c>
      <c r="F29" s="14" t="s">
        <v>132</v>
      </c>
      <c r="G29" s="18">
        <v>2.0000000000000001E-4</v>
      </c>
      <c r="H29" s="14" t="s">
        <v>133</v>
      </c>
      <c r="I29" s="17" t="s">
        <v>55</v>
      </c>
    </row>
    <row r="30" spans="2:9" ht="26.25" thickBot="1" x14ac:dyDescent="0.3">
      <c r="B30" s="14" t="s">
        <v>134</v>
      </c>
      <c r="C30" s="19">
        <v>6.3657407407407402E-4</v>
      </c>
      <c r="D30" s="16">
        <v>7.0810185185185184E-2</v>
      </c>
      <c r="E30" s="20" t="s">
        <v>135</v>
      </c>
      <c r="F30" s="14" t="s">
        <v>136</v>
      </c>
      <c r="G30" s="21">
        <v>-2.0999999999999999E-3</v>
      </c>
      <c r="H30" s="14" t="s">
        <v>137</v>
      </c>
      <c r="I30" s="20" t="s">
        <v>69</v>
      </c>
    </row>
    <row r="31" spans="2:9" ht="26.25" thickBot="1" x14ac:dyDescent="0.3">
      <c r="B31" s="14" t="s">
        <v>138</v>
      </c>
      <c r="C31" s="15">
        <v>8.564814814814815E-4</v>
      </c>
      <c r="D31" s="16">
        <v>7.1678240740740737E-2</v>
      </c>
      <c r="E31" s="17" t="s">
        <v>139</v>
      </c>
      <c r="F31" s="14" t="s">
        <v>140</v>
      </c>
      <c r="G31" s="18">
        <v>-2.0000000000000001E-4</v>
      </c>
      <c r="H31" s="14" t="s">
        <v>141</v>
      </c>
      <c r="I31" s="17" t="s">
        <v>95</v>
      </c>
    </row>
    <row r="32" spans="2:9" ht="26.25" thickBot="1" x14ac:dyDescent="0.3">
      <c r="B32" s="14" t="s">
        <v>142</v>
      </c>
      <c r="C32" s="19">
        <v>5.138888888888889E-3</v>
      </c>
      <c r="D32" s="16">
        <v>7.6817129629629624E-2</v>
      </c>
      <c r="E32" s="20" t="s">
        <v>143</v>
      </c>
      <c r="F32" s="14" t="s">
        <v>144</v>
      </c>
      <c r="G32" s="21">
        <v>0</v>
      </c>
      <c r="H32" s="14" t="s">
        <v>145</v>
      </c>
      <c r="I32" s="20" t="s">
        <v>146</v>
      </c>
    </row>
    <row r="33" spans="2:9" ht="26.25" thickBot="1" x14ac:dyDescent="0.3">
      <c r="B33" s="14" t="s">
        <v>147</v>
      </c>
      <c r="C33" s="15">
        <v>8.3333333333333339E-4</v>
      </c>
      <c r="D33" s="16">
        <v>7.7662037037037043E-2</v>
      </c>
      <c r="E33" s="17" t="s">
        <v>148</v>
      </c>
      <c r="F33" s="14" t="s">
        <v>149</v>
      </c>
      <c r="G33" s="18">
        <v>2.3999999999999998E-3</v>
      </c>
      <c r="H33" s="14" t="s">
        <v>150</v>
      </c>
      <c r="I33" s="17" t="s">
        <v>151</v>
      </c>
    </row>
    <row r="34" spans="2:9" ht="26.25" thickBot="1" x14ac:dyDescent="0.3">
      <c r="B34" s="14" t="s">
        <v>152</v>
      </c>
      <c r="C34" s="19">
        <v>1.1782407407407406E-2</v>
      </c>
      <c r="D34" s="16">
        <v>8.9456018518518518E-2</v>
      </c>
      <c r="E34" s="20" t="s">
        <v>153</v>
      </c>
      <c r="F34" s="14" t="s">
        <v>154</v>
      </c>
      <c r="G34" s="21">
        <v>-2.0000000000000001E-4</v>
      </c>
      <c r="H34" s="14" t="s">
        <v>155</v>
      </c>
      <c r="I34" s="20" t="s">
        <v>121</v>
      </c>
    </row>
    <row r="35" spans="2:9" ht="26.25" thickBot="1" x14ac:dyDescent="0.3">
      <c r="B35" s="14" t="s">
        <v>156</v>
      </c>
      <c r="C35" s="15">
        <v>5.8796296296296296E-3</v>
      </c>
      <c r="D35" s="16">
        <v>9.5347222222222208E-2</v>
      </c>
      <c r="E35" s="17" t="s">
        <v>157</v>
      </c>
      <c r="F35" s="14" t="s">
        <v>158</v>
      </c>
      <c r="G35" s="18">
        <v>0</v>
      </c>
      <c r="H35" s="14" t="s">
        <v>159</v>
      </c>
      <c r="I35" s="17" t="s">
        <v>95</v>
      </c>
    </row>
    <row r="36" spans="2:9" ht="26.25" thickBot="1" x14ac:dyDescent="0.3">
      <c r="B36" s="14" t="s">
        <v>160</v>
      </c>
      <c r="C36" s="22">
        <v>1.3657407407407409E-3</v>
      </c>
      <c r="D36" s="16">
        <v>9.6712962962962959E-2</v>
      </c>
      <c r="E36" s="23" t="s">
        <v>23</v>
      </c>
      <c r="F36" s="14" t="s">
        <v>161</v>
      </c>
      <c r="G36" s="24">
        <v>8.9999999999999998E-4</v>
      </c>
      <c r="H36" s="14" t="s">
        <v>162</v>
      </c>
      <c r="I36" s="23" t="s">
        <v>26</v>
      </c>
    </row>
    <row r="37" spans="2:9" ht="26.25" thickBot="1" x14ac:dyDescent="0.3">
      <c r="B37" s="14" t="s">
        <v>163</v>
      </c>
      <c r="C37" s="15">
        <v>5.0925925925925921E-4</v>
      </c>
      <c r="D37" s="16">
        <v>9.723379629629629E-2</v>
      </c>
      <c r="E37" s="17" t="s">
        <v>164</v>
      </c>
      <c r="F37" s="14" t="s">
        <v>165</v>
      </c>
      <c r="G37" s="18">
        <v>1.9E-3</v>
      </c>
      <c r="H37" s="14" t="s">
        <v>166</v>
      </c>
      <c r="I37" s="17" t="s">
        <v>151</v>
      </c>
    </row>
    <row r="38" spans="2:9" ht="26.25" thickBot="1" x14ac:dyDescent="0.3">
      <c r="B38" s="14" t="s">
        <v>167</v>
      </c>
      <c r="C38" s="19">
        <v>9.2592592592592585E-4</v>
      </c>
      <c r="D38" s="16">
        <v>9.8171296296296298E-2</v>
      </c>
      <c r="E38" s="20" t="s">
        <v>168</v>
      </c>
      <c r="F38" s="14" t="s">
        <v>169</v>
      </c>
      <c r="G38" s="21">
        <v>-1.9E-3</v>
      </c>
      <c r="H38" s="14" t="s">
        <v>170</v>
      </c>
      <c r="I38" s="20" t="s">
        <v>95</v>
      </c>
    </row>
    <row r="39" spans="2:9" ht="26.25" thickBot="1" x14ac:dyDescent="0.3">
      <c r="B39" s="14" t="s">
        <v>171</v>
      </c>
      <c r="C39" s="15">
        <v>6.8287037037037025E-4</v>
      </c>
      <c r="D39" s="16">
        <v>9.8854166666666674E-2</v>
      </c>
      <c r="E39" s="17" t="s">
        <v>110</v>
      </c>
      <c r="F39" s="14" t="s">
        <v>172</v>
      </c>
      <c r="G39" s="18">
        <v>-4.0000000000000002E-4</v>
      </c>
      <c r="H39" s="14" t="s">
        <v>173</v>
      </c>
      <c r="I39" s="17" t="s">
        <v>146</v>
      </c>
    </row>
    <row r="40" spans="2:9" ht="26.25" thickBot="1" x14ac:dyDescent="0.3">
      <c r="B40" s="14" t="s">
        <v>174</v>
      </c>
      <c r="C40" s="19">
        <v>5.6597222222222222E-3</v>
      </c>
      <c r="D40" s="16">
        <v>0.10451388888888889</v>
      </c>
      <c r="E40" s="20" t="s">
        <v>175</v>
      </c>
      <c r="F40" s="14" t="s">
        <v>176</v>
      </c>
      <c r="G40" s="21">
        <v>2.9999999999999997E-4</v>
      </c>
      <c r="H40" s="14" t="s">
        <v>177</v>
      </c>
      <c r="I40" s="20" t="s">
        <v>121</v>
      </c>
    </row>
    <row r="41" spans="2:9" ht="26.25" thickBot="1" x14ac:dyDescent="0.3">
      <c r="B41" s="14" t="s">
        <v>178</v>
      </c>
      <c r="C41" s="15">
        <v>1.3888888888888889E-4</v>
      </c>
      <c r="D41" s="16">
        <v>0.10466435185185186</v>
      </c>
      <c r="E41" s="17" t="s">
        <v>61</v>
      </c>
      <c r="F41" s="14" t="s">
        <v>179</v>
      </c>
      <c r="G41" s="18">
        <v>2.8E-3</v>
      </c>
      <c r="H41" s="14" t="s">
        <v>180</v>
      </c>
      <c r="I41" s="17" t="s">
        <v>181</v>
      </c>
    </row>
    <row r="42" spans="2:9" ht="26.25" thickBot="1" x14ac:dyDescent="0.3">
      <c r="B42" s="14" t="s">
        <v>182</v>
      </c>
      <c r="C42" s="19">
        <v>1.4120370370370369E-3</v>
      </c>
      <c r="D42" s="16">
        <v>0.10607638888888889</v>
      </c>
      <c r="E42" s="20" t="s">
        <v>183</v>
      </c>
      <c r="F42" s="14" t="s">
        <v>184</v>
      </c>
      <c r="G42" s="21">
        <v>-1.2999999999999999E-3</v>
      </c>
      <c r="H42" s="14" t="s">
        <v>185</v>
      </c>
      <c r="I42" s="20" t="s">
        <v>121</v>
      </c>
    </row>
    <row r="43" spans="2:9" ht="26.25" thickBot="1" x14ac:dyDescent="0.3">
      <c r="B43" s="14" t="s">
        <v>186</v>
      </c>
      <c r="C43" s="15">
        <v>6.134259259259259E-4</v>
      </c>
      <c r="D43" s="16">
        <v>0.10668981481481482</v>
      </c>
      <c r="E43" s="17" t="s">
        <v>187</v>
      </c>
      <c r="F43" s="14" t="s">
        <v>188</v>
      </c>
      <c r="G43" s="18">
        <v>2.0000000000000001E-4</v>
      </c>
      <c r="H43" s="14" t="s">
        <v>189</v>
      </c>
      <c r="I43" s="17" t="s">
        <v>16</v>
      </c>
    </row>
    <row r="44" spans="2:9" ht="26.25" thickBot="1" x14ac:dyDescent="0.3">
      <c r="B44" s="14" t="s">
        <v>190</v>
      </c>
      <c r="C44" s="19">
        <v>1.0069444444444444E-3</v>
      </c>
      <c r="D44" s="16">
        <v>0.10770833333333334</v>
      </c>
      <c r="E44" s="20" t="s">
        <v>191</v>
      </c>
      <c r="F44" s="14" t="s">
        <v>192</v>
      </c>
      <c r="G44" s="21">
        <v>-2.9999999999999997E-4</v>
      </c>
      <c r="H44" s="14" t="s">
        <v>193</v>
      </c>
      <c r="I44" s="20" t="s">
        <v>194</v>
      </c>
    </row>
    <row r="45" spans="2:9" ht="26.25" thickBot="1" x14ac:dyDescent="0.3">
      <c r="B45" s="14" t="s">
        <v>195</v>
      </c>
      <c r="C45" s="15">
        <v>3.3564814814814811E-3</v>
      </c>
      <c r="D45" s="16">
        <v>0.11106481481481482</v>
      </c>
      <c r="E45" s="17" t="s">
        <v>18</v>
      </c>
      <c r="F45" s="14" t="s">
        <v>196</v>
      </c>
      <c r="G45" s="18">
        <v>0</v>
      </c>
      <c r="H45" s="14" t="s">
        <v>197</v>
      </c>
      <c r="I45" s="17" t="s">
        <v>181</v>
      </c>
    </row>
    <row r="46" spans="2:9" ht="25.5" x14ac:dyDescent="0.25">
      <c r="B46" s="14" t="s">
        <v>198</v>
      </c>
      <c r="C46" s="19">
        <v>2.6620370370370374E-3</v>
      </c>
      <c r="D46" s="16">
        <v>0.11372685185185184</v>
      </c>
      <c r="E46" s="20" t="s">
        <v>199</v>
      </c>
      <c r="F46" s="14" t="s">
        <v>200</v>
      </c>
      <c r="G46" s="21">
        <v>0</v>
      </c>
      <c r="H46" s="14" t="s">
        <v>201</v>
      </c>
      <c r="I46" s="20" t="s">
        <v>194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27702-F39B-44BE-B27A-8EC8F6718FC9}">
  <sheetPr codeName="Sheet1"/>
  <dimension ref="A1:B1"/>
  <sheetViews>
    <sheetView workbookViewId="0">
      <selection activeCell="B5" sqref="B5"/>
    </sheetView>
  </sheetViews>
  <sheetFormatPr defaultRowHeight="15" x14ac:dyDescent="0.25"/>
  <cols>
    <col min="1" max="1" width="11.140625" customWidth="1"/>
    <col min="2" max="2" width="12.85546875" bestFit="1" customWidth="1"/>
  </cols>
  <sheetData>
    <row r="1" spans="1:2" x14ac:dyDescent="0.25">
      <c r="A1" s="29">
        <v>43529</v>
      </c>
      <c r="B1" t="s"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Master</vt:lpstr>
      <vt:lpstr>BBS</vt:lpstr>
      <vt:lpstr>ZWOLog</vt:lpstr>
    </vt:vector>
  </TitlesOfParts>
  <Company>Wood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DUFFETT, Colin (WGK)</dc:creator>
  <cp:lastModifiedBy>DUFFETT, Colin</cp:lastModifiedBy>
  <dcterms:created xsi:type="dcterms:W3CDTF">2017-01-22T22:10:00Z</dcterms:created>
  <dcterms:modified xsi:type="dcterms:W3CDTF">2019-05-15T16:08:05Z</dcterms:modified>
</cp:coreProperties>
</file>